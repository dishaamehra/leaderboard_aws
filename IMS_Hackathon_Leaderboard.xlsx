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Point_Values" sheetId="2" r:id="rId6"/>
    <sheet state="visible" name="Leaderboard" sheetId="3" r:id="rId7"/>
    <sheet state="visible" name="Teams" sheetId="4" r:id="rId8"/>
    <sheet state="visible" name="Members" sheetId="5" r:id="rId9"/>
    <sheet state="visible" name="Week1_Individual" sheetId="6" r:id="rId10"/>
    <sheet state="visible" name="Week2_Individual" sheetId="7" r:id="rId11"/>
    <sheet state="visible" name="Week3_Individual" sheetId="8" r:id="rId12"/>
    <sheet state="visible" name="Week4_Individual" sheetId="9" r:id="rId13"/>
    <sheet state="visible" name="Week5_Individual" sheetId="10" r:id="rId14"/>
    <sheet state="visible" name="Week6_Individual" sheetId="11" r:id="rId15"/>
    <sheet state="visible" name="Week1_Team" sheetId="12" r:id="rId16"/>
    <sheet state="visible" name="Week2_Team" sheetId="13" r:id="rId17"/>
    <sheet state="visible" name="Week3_Team" sheetId="14" r:id="rId18"/>
    <sheet state="visible" name="Week4_Team" sheetId="15" r:id="rId19"/>
    <sheet state="visible" name="Week5_Team" sheetId="16" r:id="rId20"/>
    <sheet state="visible" name="Week6_Team" sheetId="17" r:id="rId21"/>
  </sheets>
  <definedNames>
    <definedName name="PV_BLOG">Point_Values!$C$10</definedName>
    <definedName name="PV_PR">Point_Values!$C$11</definedName>
    <definedName name="PV_DEPLOY">Point_Values!$C$8</definedName>
    <definedName name="PV_SESSION">Point_Values!$C$4</definedName>
    <definedName name="PV_WIN">Point_Values!$C$6</definedName>
    <definedName name="PV_CHALLENGE">Point_Values!$C$5</definedName>
    <definedName name="PV_MENTOR">Point_Values!$C$13</definedName>
    <definedName name="PV_BUILDNIGHT">Point_Values!$C$12</definedName>
    <definedName name="PV_DEMO">Point_Values!$C$14</definedName>
    <definedName name="PV_UPDATE">Point_Values!$C$7</definedName>
    <definedName name="PV_HELP">Point_Values!$C$9</definedName>
    <definedName hidden="1" localSheetId="2" name="_xlnm._FilterDatabase">Leaderboard!$A$1:$K$96</definedName>
    <definedName hidden="1" localSheetId="11" name="_xlnm._FilterDatabase">Week1_Team!$A$1:$K$96</definedName>
  </definedNames>
  <calcPr/>
</workbook>
</file>

<file path=xl/sharedStrings.xml><?xml version="1.0" encoding="utf-8"?>
<sst xmlns="http://schemas.openxmlformats.org/spreadsheetml/2006/main" count="7963" uniqueCount="505">
  <si>
    <t>Hackathon Leaderboard — Backend Workbook</t>
  </si>
  <si>
    <t>WHAT THIS FILE IS</t>
  </si>
  <si>
    <t>This workbook is the backend for the 6-week leaderboard. Every weekly score is</t>
  </si>
  <si>
    <t>calculated automatically by formula — you only ever type numbers into the cream-</t>
  </si>
  <si>
    <t>colored input cells. Never type into white/grey cells; those hold formulas.</t>
  </si>
  <si>
    <t>HOW POINTS ARE SPLIT</t>
  </si>
  <si>
    <t>1) INDIVIDUAL activities (tracked per member, then AVERAGED into the team score):</t>
  </si>
  <si>
    <t xml:space="preserve">   - Attending a live session         -&gt; 5 pts / session</t>
  </si>
  <si>
    <t xml:space="preserve">   - Completing a mini-challenge       -&gt; 20 pts / challenge</t>
  </si>
  <si>
    <t xml:space="preserve">   - Winning a mini-challenge          -&gt; +30 pts bonus</t>
  </si>
  <si>
    <t xml:space="preserve">   Sheets: Week1_Individual ... Week6_Individual</t>
  </si>
  <si>
    <t xml:space="preserve">   Each row is one member. Type their counts for that week in columns E, F, G.</t>
  </si>
  <si>
    <t xml:space="preserve">   Column H auto-calculates that member's points. The Leaderboard sheet then</t>
  </si>
  <si>
    <t xml:space="preserve">   takes the AVERAGE of all members on a team for that week's individual score.</t>
  </si>
  <si>
    <t>2) TEAM activities (one set of numbers per TEAM, not per member):</t>
  </si>
  <si>
    <t xml:space="preserve">   - Weekly progress update            -&gt; 10 pts</t>
  </si>
  <si>
    <t xml:space="preserve">   - Deploying a working project       -&gt; 15 pts / deploy</t>
  </si>
  <si>
    <t xml:space="preserve">   - Helping another team (documented) -&gt; 10 pts / instance</t>
  </si>
  <si>
    <t xml:space="preserve">   - Writing a technical blog post     -&gt; 20 pts / post</t>
  </si>
  <si>
    <t xml:space="preserve">   - Open source PR merged             -&gt; 25 pts / PR</t>
  </si>
  <si>
    <t xml:space="preserve">   - Attending a Build Night           -&gt; 15 pts (min. 45 mins)</t>
  </si>
  <si>
    <t xml:space="preserve">   - Using a mentor hour slot          -&gt; 5 pts / slot</t>
  </si>
  <si>
    <t xml:space="preserve">   - Demo Day presentation             -&gt; 50 pts (baseline, 0 or 1)</t>
  </si>
  <si>
    <t xml:space="preserve">   Sheets: Week1_Team ... Week6_Team</t>
  </si>
  <si>
    <t xml:space="preserve">   Each row is one team. Type counts in the cream columns; Team Points (last</t>
  </si>
  <si>
    <t xml:space="preserve">   column) auto-calculates from the Point_Values sheet.</t>
  </si>
  <si>
    <t>3) LEADERBOARD sheet pulls everything together: for each week it adds</t>
  </si>
  <si>
    <t xml:space="preserve">   (average individual points for that team) + (that team's team points),</t>
  </si>
  <si>
    <t xml:space="preserve">   then sums all 6 weeks into a Total and ranks teams automatically.</t>
  </si>
  <si>
    <t>WEEKLY ROUTINE (do this once a week)</t>
  </si>
  <si>
    <t xml:space="preserve">   1. Open this week's _Individual sheet, fill in each member's counts.</t>
  </si>
  <si>
    <t xml:space="preserve">   2. Open this week's _Team sheet, fill in each team's counts.</t>
  </si>
  <si>
    <t xml:space="preserve">   3. Check the Leaderboard sheet — ranks update instantly.</t>
  </si>
  <si>
    <t xml:space="preserve">   4. Run `python xlsx_to_json.py` (in the same project folder as the website)</t>
  </si>
  <si>
    <t xml:space="preserve">      to refresh data.json, then push to GitHub — Vercel redeploys automatically.</t>
  </si>
  <si>
    <t>DEMO DATA</t>
  </si>
  <si>
    <t>Week 6 has sample numbers filled in so you can see the leaderboard and the</t>
  </si>
  <si>
    <t>website working end-to-end. Weeks 1-5 are at zero, ready for real data.</t>
  </si>
  <si>
    <t>Delete the Week 6 sample numbers whenever you are ready to start logging for real.</t>
  </si>
  <si>
    <t>Point Earning Table</t>
  </si>
  <si>
    <t>Type</t>
  </si>
  <si>
    <t>Activity</t>
  </si>
  <si>
    <t>Points</t>
  </si>
  <si>
    <t>Notes</t>
  </si>
  <si>
    <t>Individual</t>
  </si>
  <si>
    <t>Attending a live session</t>
  </si>
  <si>
    <t>per session, applied per member then averaged into team score</t>
  </si>
  <si>
    <t>Completing a mini-challenge</t>
  </si>
  <si>
    <t>per challenge, applied per member then averaged</t>
  </si>
  <si>
    <t>Winning a mini-challenge</t>
  </si>
  <si>
    <t>bonus on top of completion, per member then averaged</t>
  </si>
  <si>
    <t>Team</t>
  </si>
  <si>
    <t>Weekly progress update</t>
  </si>
  <si>
    <t>weekly | GitHub commit/Discord post + screenshot</t>
  </si>
  <si>
    <t>Deploying a working project/feature</t>
  </si>
  <si>
    <t>per deploy | live URL/screenshot required</t>
  </si>
  <si>
    <t>Helping another team (documented)</t>
  </si>
  <si>
    <t>per instance | verified via Discord tag</t>
  </si>
  <si>
    <t>Writing a technical blog post</t>
  </si>
  <si>
    <t>per post | Medium/Hashnode/Dev.to</t>
  </si>
  <si>
    <t>Open source PR (merged)</t>
  </si>
  <si>
    <t>per PR | must be merged</t>
  </si>
  <si>
    <t>Attending a Build Night</t>
  </si>
  <si>
    <t>min. 45 mins</t>
  </si>
  <si>
    <t>Using a mentor hour slot</t>
  </si>
  <si>
    <t>per slot</t>
  </si>
  <si>
    <t>Demo Day presentation</t>
  </si>
  <si>
    <t>baseline for all presenting teams</t>
  </si>
  <si>
    <t>Rank</t>
  </si>
  <si>
    <t>Team ID</t>
  </si>
  <si>
    <t>Team Name</t>
  </si>
  <si>
    <t>Domain Track</t>
  </si>
  <si>
    <t>Week 1</t>
  </si>
  <si>
    <t>Week 2</t>
  </si>
  <si>
    <t>Week 3</t>
  </si>
  <si>
    <t>Week 4</t>
  </si>
  <si>
    <t>Week 5</t>
  </si>
  <si>
    <t>Week 6</t>
  </si>
  <si>
    <t>Total Points</t>
  </si>
  <si>
    <t>UQ962GS0</t>
  </si>
  <si>
    <t>Hackherz</t>
  </si>
  <si>
    <t>AI+ Cloud</t>
  </si>
  <si>
    <t>UC3FP025</t>
  </si>
  <si>
    <t>Dominators</t>
  </si>
  <si>
    <t>U7Y7C00E</t>
  </si>
  <si>
    <t>Cloud Shout</t>
  </si>
  <si>
    <t>Unassigned</t>
  </si>
  <si>
    <t>UQN61X77</t>
  </si>
  <si>
    <t>Dameware</t>
  </si>
  <si>
    <t>U4V28K6Y</t>
  </si>
  <si>
    <t>THE KRAZY TEAM</t>
  </si>
  <si>
    <t>U7QW53P8</t>
  </si>
  <si>
    <t>BugSlayers</t>
  </si>
  <si>
    <t>UH146X8Q</t>
  </si>
  <si>
    <t>Zero degree</t>
  </si>
  <si>
    <t>Fullstack + Cloud</t>
  </si>
  <si>
    <t>U8QVR014</t>
  </si>
  <si>
    <t>Builders here</t>
  </si>
  <si>
    <t>U820U5BA</t>
  </si>
  <si>
    <t>HackEnds</t>
  </si>
  <si>
    <t>U9I2YU88</t>
  </si>
  <si>
    <t>Nari_Coders</t>
  </si>
  <si>
    <t>U4V88J8A</t>
  </si>
  <si>
    <t>Future Foundry</t>
  </si>
  <si>
    <t>UST5O599</t>
  </si>
  <si>
    <t>Git happens</t>
  </si>
  <si>
    <t>U53U6M3A</t>
  </si>
  <si>
    <t>Code Beyond</t>
  </si>
  <si>
    <t>U7V331YO</t>
  </si>
  <si>
    <t>Skygliders</t>
  </si>
  <si>
    <t>UI9658KQ</t>
  </si>
  <si>
    <t>CloudTitans</t>
  </si>
  <si>
    <t>US8T525I</t>
  </si>
  <si>
    <t>Phoenix</t>
  </si>
  <si>
    <t>UG5H4Z74</t>
  </si>
  <si>
    <t>Let's go</t>
  </si>
  <si>
    <t>UP7OJ428</t>
  </si>
  <si>
    <t>done n dusted</t>
  </si>
  <si>
    <t>UIK571R1</t>
  </si>
  <si>
    <t>Cipher</t>
  </si>
  <si>
    <t>UJW11Q64</t>
  </si>
  <si>
    <t>Heeyy</t>
  </si>
  <si>
    <t>U6418NTL</t>
  </si>
  <si>
    <t>New team</t>
  </si>
  <si>
    <t>U1O914XV</t>
  </si>
  <si>
    <t>Money Making Barbies</t>
  </si>
  <si>
    <t>UY761IM9</t>
  </si>
  <si>
    <t>Cloud Scout</t>
  </si>
  <si>
    <t>U896DB2C</t>
  </si>
  <si>
    <t>Innovaterss</t>
  </si>
  <si>
    <t>UV9618WK</t>
  </si>
  <si>
    <t>Team Gunjan</t>
  </si>
  <si>
    <t>UL9S57K0</t>
  </si>
  <si>
    <t>Xyz</t>
  </si>
  <si>
    <t>U73Y4AF2</t>
  </si>
  <si>
    <t>Candy</t>
  </si>
  <si>
    <t>U44C1PD0</t>
  </si>
  <si>
    <t>.</t>
  </si>
  <si>
    <t>UU539FI0</t>
  </si>
  <si>
    <t>Prompt2Cloud</t>
  </si>
  <si>
    <t>UV6332LD</t>
  </si>
  <si>
    <t>Byte Force</t>
  </si>
  <si>
    <t>U8S23V8D</t>
  </si>
  <si>
    <t>Team Diksha</t>
  </si>
  <si>
    <t>UL4TG272</t>
  </si>
  <si>
    <t>Jumbo</t>
  </si>
  <si>
    <t>U3E04G7B</t>
  </si>
  <si>
    <t>ABCXYZ</t>
  </si>
  <si>
    <t>U93L71HD</t>
  </si>
  <si>
    <t>Cloud_gazers</t>
  </si>
  <si>
    <t>U4974RSJ</t>
  </si>
  <si>
    <t>TechTitans</t>
  </si>
  <si>
    <t>UFT7C379</t>
  </si>
  <si>
    <t>Vectrix</t>
  </si>
  <si>
    <t>U7J8H4S3</t>
  </si>
  <si>
    <t>ctrl alt build</t>
  </si>
  <si>
    <t>U2388XLB</t>
  </si>
  <si>
    <t>CodeDummy</t>
  </si>
  <si>
    <t>U709PW1X</t>
  </si>
  <si>
    <t>aws_builders</t>
  </si>
  <si>
    <t>U99NP3B0</t>
  </si>
  <si>
    <t>HackDivas</t>
  </si>
  <si>
    <t>UF7676NK</t>
  </si>
  <si>
    <t>Coding niggas</t>
  </si>
  <si>
    <t>UX75DL60</t>
  </si>
  <si>
    <t>CakePops</t>
  </si>
  <si>
    <t>DevOps + Cloud</t>
  </si>
  <si>
    <t>U6Y8A0Z4</t>
  </si>
  <si>
    <t>Team BuildX</t>
  </si>
  <si>
    <t>UA6V09K0</t>
  </si>
  <si>
    <t>TechSpire</t>
  </si>
  <si>
    <t>U31J3Z6X</t>
  </si>
  <si>
    <t>SheDevs</t>
  </si>
  <si>
    <t>UUMR1961</t>
  </si>
  <si>
    <t>AWS Techies</t>
  </si>
  <si>
    <t>UQ2K98Y3</t>
  </si>
  <si>
    <t>S-Cubed</t>
  </si>
  <si>
    <t>UUQ8811S</t>
  </si>
  <si>
    <t>S3 squad</t>
  </si>
  <si>
    <t>U95GE69X</t>
  </si>
  <si>
    <t>Neural Ninjas</t>
  </si>
  <si>
    <t>U9QP1B31</t>
  </si>
  <si>
    <t>MindWeavers</t>
  </si>
  <si>
    <t>UP957ZX4</t>
  </si>
  <si>
    <t>TwinLogic</t>
  </si>
  <si>
    <t>U68P0J9W</t>
  </si>
  <si>
    <t>Depth Divers</t>
  </si>
  <si>
    <t>U7L6Z7B1</t>
  </si>
  <si>
    <t>Status-200</t>
  </si>
  <si>
    <t>U7DO32S0</t>
  </si>
  <si>
    <t>Team Yahvi</t>
  </si>
  <si>
    <t>U525L1JM</t>
  </si>
  <si>
    <t>Team Prisha</t>
  </si>
  <si>
    <t>U32PC0J8</t>
  </si>
  <si>
    <t>Codex</t>
  </si>
  <si>
    <t>U94GO9W5</t>
  </si>
  <si>
    <t>Buildnew</t>
  </si>
  <si>
    <t>U8U5ES81</t>
  </si>
  <si>
    <t>Dynamite</t>
  </si>
  <si>
    <t>U29K2MG5</t>
  </si>
  <si>
    <t>chaibiscuit</t>
  </si>
  <si>
    <t>U1B6FJ79</t>
  </si>
  <si>
    <t>Team Riya</t>
  </si>
  <si>
    <t>UW5B658X</t>
  </si>
  <si>
    <t>KaafiTezLog</t>
  </si>
  <si>
    <t>UI21Y89W</t>
  </si>
  <si>
    <t>Rankers</t>
  </si>
  <si>
    <t>U8D63B2V</t>
  </si>
  <si>
    <t>Neural Navigators</t>
  </si>
  <si>
    <t>UM2736AZ</t>
  </si>
  <si>
    <t>CloudWhisperers</t>
  </si>
  <si>
    <t>UEA4940S</t>
  </si>
  <si>
    <t>Team Preethi</t>
  </si>
  <si>
    <t>U5SI27P6</t>
  </si>
  <si>
    <t>Nexus stack</t>
  </si>
  <si>
    <t>UDFW3107</t>
  </si>
  <si>
    <t>Eureka</t>
  </si>
  <si>
    <t>U173XD9O</t>
  </si>
  <si>
    <t>Stack OverSlay</t>
  </si>
  <si>
    <t>UE54J30C</t>
  </si>
  <si>
    <t>snap2code</t>
  </si>
  <si>
    <t>UZ4O2X41</t>
  </si>
  <si>
    <t>The Last of Us</t>
  </si>
  <si>
    <t>UIA4824S</t>
  </si>
  <si>
    <t>Codestorm</t>
  </si>
  <si>
    <t>U3FB75S0</t>
  </si>
  <si>
    <t>Code &amp; Conquer</t>
  </si>
  <si>
    <t>U37EN39U</t>
  </si>
  <si>
    <t>Cloud 9ine</t>
  </si>
  <si>
    <t>UYV315Z9</t>
  </si>
  <si>
    <t>Certified YapBots</t>
  </si>
  <si>
    <t>USZ77L38</t>
  </si>
  <si>
    <t>Tech Titans</t>
  </si>
  <si>
    <t>U9N3L7V0</t>
  </si>
  <si>
    <t>Niggers</t>
  </si>
  <si>
    <t>U73Y1W1F</t>
  </si>
  <si>
    <t>aura</t>
  </si>
  <si>
    <t>UJ08Q83K</t>
  </si>
  <si>
    <t>Beach</t>
  </si>
  <si>
    <t>U3R134KL</t>
  </si>
  <si>
    <t>Crazors</t>
  </si>
  <si>
    <t>U2UF909B</t>
  </si>
  <si>
    <t>samosa chutney</t>
  </si>
  <si>
    <t>UL89U4Y9</t>
  </si>
  <si>
    <t>Infinite Loopers</t>
  </si>
  <si>
    <t>UL56UD19</t>
  </si>
  <si>
    <t>Code to Cloud</t>
  </si>
  <si>
    <t>UW3K5I48</t>
  </si>
  <si>
    <t>Code 201</t>
  </si>
  <si>
    <t>U186VJQ2</t>
  </si>
  <si>
    <t>Rising Stars</t>
  </si>
  <si>
    <t>UVQI5500</t>
  </si>
  <si>
    <t>Array of hope</t>
  </si>
  <si>
    <t>U0XF9I35</t>
  </si>
  <si>
    <t>Slayyers</t>
  </si>
  <si>
    <t>Cybersecurity + Cloud</t>
  </si>
  <si>
    <t>US745AB1</t>
  </si>
  <si>
    <t>AWS Avengers</t>
  </si>
  <si>
    <t>U95W7P7K</t>
  </si>
  <si>
    <t>Navigator</t>
  </si>
  <si>
    <t>U4M4KY56</t>
  </si>
  <si>
    <t>Avengers</t>
  </si>
  <si>
    <t>U9Z5L79N</t>
  </si>
  <si>
    <t>Alchemists</t>
  </si>
  <si>
    <t>U1SG813Q</t>
  </si>
  <si>
    <t>tomfoolery</t>
  </si>
  <si>
    <t>U712VO5M</t>
  </si>
  <si>
    <t>Sisbest</t>
  </si>
  <si>
    <t>U0VD93F7</t>
  </si>
  <si>
    <t>Inertia</t>
  </si>
  <si>
    <t>U4I32QD4</t>
  </si>
  <si>
    <t>CodeIT</t>
  </si>
  <si>
    <t>US4418KP</t>
  </si>
  <si>
    <t>QuadCore</t>
  </si>
  <si>
    <t>Team Size</t>
  </si>
  <si>
    <t>Code2Cloud</t>
  </si>
  <si>
    <t>Member Name</t>
  </si>
  <si>
    <t>Role</t>
  </si>
  <si>
    <t>shreyasi</t>
  </si>
  <si>
    <t>Team Leader</t>
  </si>
  <si>
    <t>Pranavi Mendriatta</t>
  </si>
  <si>
    <t>Team Member</t>
  </si>
  <si>
    <t>Sanjana</t>
  </si>
  <si>
    <t>Krishika Jain</t>
  </si>
  <si>
    <t>Swikriti Singh</t>
  </si>
  <si>
    <t>Aakriti Rajhans</t>
  </si>
  <si>
    <t>Richa Sukla</t>
  </si>
  <si>
    <t>Vani</t>
  </si>
  <si>
    <t>Sidhi</t>
  </si>
  <si>
    <t>Niharika</t>
  </si>
  <si>
    <t>Drishti Chaudhary</t>
  </si>
  <si>
    <t>Himani Singh</t>
  </si>
  <si>
    <t>Anoushka Gupta</t>
  </si>
  <si>
    <t>Divyam Mehra</t>
  </si>
  <si>
    <t>Muskan</t>
  </si>
  <si>
    <t>Kartik Tiwari</t>
  </si>
  <si>
    <t>Mannu Garg</t>
  </si>
  <si>
    <t>Harshita</t>
  </si>
  <si>
    <t>Khushi Verma</t>
  </si>
  <si>
    <t>Anushka Singh</t>
  </si>
  <si>
    <t>Astha Singh</t>
  </si>
  <si>
    <t>Anshika</t>
  </si>
  <si>
    <t>MEHAK VATS</t>
  </si>
  <si>
    <t>Sarika singh</t>
  </si>
  <si>
    <t>Urvi Dixit</t>
  </si>
  <si>
    <t>Sakshi Sanghavi</t>
  </si>
  <si>
    <t>Somya Tiwari</t>
  </si>
  <si>
    <t>Siddhi Garg</t>
  </si>
  <si>
    <t>Apoorva Kumar Jha</t>
  </si>
  <si>
    <t>Shreya Singh</t>
  </si>
  <si>
    <t>Shambhavi Garg</t>
  </si>
  <si>
    <t>Sonali Kumari Jha</t>
  </si>
  <si>
    <t>Tannavi Ranjan</t>
  </si>
  <si>
    <t>SURABHI SETHI</t>
  </si>
  <si>
    <t>MIMANSHA KUMAR</t>
  </si>
  <si>
    <t>Suhani Thakur</t>
  </si>
  <si>
    <t>Saanvi Guglani</t>
  </si>
  <si>
    <t>Ananshi</t>
  </si>
  <si>
    <t>JINAL AGARWAL</t>
  </si>
  <si>
    <t>Ishita Sharmaa</t>
  </si>
  <si>
    <t>Gauri Kumari</t>
  </si>
  <si>
    <t>Arni Goyal</t>
  </si>
  <si>
    <t>Manvi Sinha</t>
  </si>
  <si>
    <t>Divya Yadav</t>
  </si>
  <si>
    <t>Payal</t>
  </si>
  <si>
    <t>Priya Singh</t>
  </si>
  <si>
    <t>Manya Gupta</t>
  </si>
  <si>
    <t>Nikita Gupta Gupta</t>
  </si>
  <si>
    <t>Kashish Gupta</t>
  </si>
  <si>
    <t>Ria Saraswat</t>
  </si>
  <si>
    <t>Vanshika Tyagi</t>
  </si>
  <si>
    <t>Tanvi</t>
  </si>
  <si>
    <t>Samriddhi Srivastava</t>
  </si>
  <si>
    <t>Umesh Bijarniya</t>
  </si>
  <si>
    <t>Vanshika Aggarwal</t>
  </si>
  <si>
    <t>Mehar Kapoor</t>
  </si>
  <si>
    <t>Harleen Kaur</t>
  </si>
  <si>
    <t>Aditi Agarwal</t>
  </si>
  <si>
    <t>Vanshika Joshi</t>
  </si>
  <si>
    <t>Deepanshi Dhiman</t>
  </si>
  <si>
    <t>Gunjan Mittal</t>
  </si>
  <si>
    <t>Chanchal Yaduvanshi</t>
  </si>
  <si>
    <t>BHAWNA</t>
  </si>
  <si>
    <t>Anushka Aggarwal</t>
  </si>
  <si>
    <t>Amna Sehgal</t>
  </si>
  <si>
    <t>Priyesi Taneja</t>
  </si>
  <si>
    <t>Janhavi Sharma</t>
  </si>
  <si>
    <t>Siddhi Seth</t>
  </si>
  <si>
    <t>Diksha Hooda</t>
  </si>
  <si>
    <t>Rashi Choudhary</t>
  </si>
  <si>
    <t>Nancy Yadav</t>
  </si>
  <si>
    <t>Bhavya Bhardwaj</t>
  </si>
  <si>
    <t>Disha Garg</t>
  </si>
  <si>
    <t>Harshita Bharti</t>
  </si>
  <si>
    <t>TIYA SHARMA</t>
  </si>
  <si>
    <t>SAANVI MEHTA</t>
  </si>
  <si>
    <t>SHIVANSHI SINGH</t>
  </si>
  <si>
    <t>Saanvi Sarawat</t>
  </si>
  <si>
    <t>Pranjal Pandey</t>
  </si>
  <si>
    <t>Mansa Kaur</t>
  </si>
  <si>
    <t>Meghna Sharma</t>
  </si>
  <si>
    <t>Jayanti Goyal</t>
  </si>
  <si>
    <t>Varnika Yadav</t>
  </si>
  <si>
    <t>Yessica Malhotra</t>
  </si>
  <si>
    <t>Dhruv Malik</t>
  </si>
  <si>
    <t>Lakshita Aggarwal</t>
  </si>
  <si>
    <t>Akruti Tiwari</t>
  </si>
  <si>
    <t>Ridhima Kulashri</t>
  </si>
  <si>
    <t>Trisha</t>
  </si>
  <si>
    <t>Tripti</t>
  </si>
  <si>
    <t>Riya Gautam</t>
  </si>
  <si>
    <t>Kashish</t>
  </si>
  <si>
    <t>VARSHA</t>
  </si>
  <si>
    <t>Vanshika Vashistha</t>
  </si>
  <si>
    <t>Aakanksha Jha</t>
  </si>
  <si>
    <t>Vaishnavi Verma</t>
  </si>
  <si>
    <t>Naina Verma</t>
  </si>
  <si>
    <t>Aditi Shanker</t>
  </si>
  <si>
    <t>Srishti Sharma</t>
  </si>
  <si>
    <t>Shambhavi</t>
  </si>
  <si>
    <t>Sweety Gupta</t>
  </si>
  <si>
    <t>Mehak Sharma</t>
  </si>
  <si>
    <t>Kartik</t>
  </si>
  <si>
    <t>Lakshmi Prajapati</t>
  </si>
  <si>
    <t>JYOTI</t>
  </si>
  <si>
    <t>Siddiqua Abedeen</t>
  </si>
  <si>
    <t>Shristi Shukla</t>
  </si>
  <si>
    <t>Haseen Fatma</t>
  </si>
  <si>
    <t>Rupashi Maurya</t>
  </si>
  <si>
    <t>Gungun Jain</t>
  </si>
  <si>
    <t>Krati Mishra</t>
  </si>
  <si>
    <t>Priyanshi Saini</t>
  </si>
  <si>
    <t>Akansha Kukreti</t>
  </si>
  <si>
    <t>Gargi Choudhary</t>
  </si>
  <si>
    <t>Disha Sethi</t>
  </si>
  <si>
    <t>Medha Sharma</t>
  </si>
  <si>
    <t>Arunima Dayal</t>
  </si>
  <si>
    <t>Yahvi Pandey</t>
  </si>
  <si>
    <t>Prisha</t>
  </si>
  <si>
    <t>Prachi Singh</t>
  </si>
  <si>
    <t>Rashi</t>
  </si>
  <si>
    <t>Khushi Bidhuri</t>
  </si>
  <si>
    <t>Gitanshi Verma</t>
  </si>
  <si>
    <t>Vidushi Bhardwaj</t>
  </si>
  <si>
    <t>Riya Sharma</t>
  </si>
  <si>
    <t>Avni Arora</t>
  </si>
  <si>
    <t>Chhavi Mittal</t>
  </si>
  <si>
    <t>Jaina Pal</t>
  </si>
  <si>
    <t>Prerna Mehta</t>
  </si>
  <si>
    <t>Jia</t>
  </si>
  <si>
    <t>Mukul Mehta</t>
  </si>
  <si>
    <t>Bhoomi Shri</t>
  </si>
  <si>
    <t>Priyal Modi</t>
  </si>
  <si>
    <t>Yashmita Kumari</t>
  </si>
  <si>
    <t>Preethi V</t>
  </si>
  <si>
    <t>Nandini</t>
  </si>
  <si>
    <t>Malla Harini</t>
  </si>
  <si>
    <t>Shreeya Arora</t>
  </si>
  <si>
    <t>Angel Gautam</t>
  </si>
  <si>
    <t>Sanaya</t>
  </si>
  <si>
    <t>Anya Kansal</t>
  </si>
  <si>
    <t>Ashini Dewan</t>
  </si>
  <si>
    <t>Kanishka</t>
  </si>
  <si>
    <t>Lavanya</t>
  </si>
  <si>
    <t>Tanisha</t>
  </si>
  <si>
    <t>Megha Jha</t>
  </si>
  <si>
    <t>Abhishek</t>
  </si>
  <si>
    <t>Anurag Kumar Jha</t>
  </si>
  <si>
    <t>Ayush Raj</t>
  </si>
  <si>
    <t>Yogyata</t>
  </si>
  <si>
    <t>Dipanshu Sharma</t>
  </si>
  <si>
    <t>Juhi Chauhan</t>
  </si>
  <si>
    <t>Shivam</t>
  </si>
  <si>
    <t>Tanisha Kumari</t>
  </si>
  <si>
    <t>Vaishnavi</t>
  </si>
  <si>
    <t>Sakshi Chaudhary</t>
  </si>
  <si>
    <t>Kanishka Tyagi</t>
  </si>
  <si>
    <t>MANSHI RAWAT</t>
  </si>
  <si>
    <t>Kanika Khati</t>
  </si>
  <si>
    <t>Namrata</t>
  </si>
  <si>
    <t>Dikshita</t>
  </si>
  <si>
    <t>Prachi</t>
  </si>
  <si>
    <t>Radhika</t>
  </si>
  <si>
    <t>Vaibhav Ranjan</t>
  </si>
  <si>
    <t>Saurabh Gupta</t>
  </si>
  <si>
    <t>Karina Bataeva</t>
  </si>
  <si>
    <t>Siddhant Gahlot</t>
  </si>
  <si>
    <t>Parnita Singh</t>
  </si>
  <si>
    <t>Prachi Mann</t>
  </si>
  <si>
    <t>Ritu Sharma</t>
  </si>
  <si>
    <t>Pari</t>
  </si>
  <si>
    <t>Anchal Gupta</t>
  </si>
  <si>
    <t>Palak</t>
  </si>
  <si>
    <t>Vinayak Sharma</t>
  </si>
  <si>
    <t>Anuska Sharma</t>
  </si>
  <si>
    <t>Nancy Shaw</t>
  </si>
  <si>
    <t>Navya</t>
  </si>
  <si>
    <t>Manavi Sharma</t>
  </si>
  <si>
    <t>Yash Trivedi</t>
  </si>
  <si>
    <t>Vantika Agrawal</t>
  </si>
  <si>
    <t>Bhoomi Raj</t>
  </si>
  <si>
    <t>Sanvi Gautam</t>
  </si>
  <si>
    <t>Sneha Rani</t>
  </si>
  <si>
    <t>Olive</t>
  </si>
  <si>
    <t>Shruti Kumari</t>
  </si>
  <si>
    <t>Shivani Meena</t>
  </si>
  <si>
    <t>Yashi Yadav Yadav</t>
  </si>
  <si>
    <t>Vinni Kapoor</t>
  </si>
  <si>
    <t>Vaibhavi Srivastava</t>
  </si>
  <si>
    <t>Kashvi Sharma</t>
  </si>
  <si>
    <t>Kavya Verma</t>
  </si>
  <si>
    <t>Abhilasha Sharma</t>
  </si>
  <si>
    <t>Kuhu</t>
  </si>
  <si>
    <t>Palak Roy</t>
  </si>
  <si>
    <t>Riddhi Khattar</t>
  </si>
  <si>
    <t>Chaitrali Dattatray Waikar</t>
  </si>
  <si>
    <t>Ashmi Avinash Waydande</t>
  </si>
  <si>
    <t>Rakhi Vijay Singh</t>
  </si>
  <si>
    <t>Himanshi</t>
  </si>
  <si>
    <t>Anika Kulshreshtha</t>
  </si>
  <si>
    <t>Shivangi Gupta</t>
  </si>
  <si>
    <t>Shivam Kumar</t>
  </si>
  <si>
    <t>Kirti Shukla</t>
  </si>
  <si>
    <t>Gurleen Kaur</t>
  </si>
  <si>
    <t>Shruti Gupta</t>
  </si>
  <si>
    <t>Shreya Gupta</t>
  </si>
  <si>
    <t>Shreya Dwivedi</t>
  </si>
  <si>
    <t>Tiya Singh</t>
  </si>
  <si>
    <t>Priyanshi Jain</t>
  </si>
  <si>
    <t>Shriya Mohan</t>
  </si>
  <si>
    <t>Sessions Attended</t>
  </si>
  <si>
    <t>Mini-Challenges Completed</t>
  </si>
  <si>
    <t>Mini-Challenges Won</t>
  </si>
  <si>
    <t>Individual Points</t>
  </si>
  <si>
    <t>f</t>
  </si>
  <si>
    <t>Weekly Update (0/1)</t>
  </si>
  <si>
    <t>Deploys</t>
  </si>
  <si>
    <t>Blog Posts</t>
  </si>
  <si>
    <t>PRs Merged</t>
  </si>
  <si>
    <t>Build Nights Attended</t>
  </si>
  <si>
    <t>Mentor Hour Slots Used</t>
  </si>
  <si>
    <t>Demo Day (0/1)</t>
  </si>
  <si>
    <t>Team Points</t>
  </si>
  <si>
    <t>AWS TECHIES</t>
  </si>
  <si>
    <t>Helped Other Teams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</si>
</sst>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6.0"/>
      <color rgb="FF2B1D15"/>
      <name val="Arial"/>
    </font>
    <font>
      <sz val="10.0"/>
      <color theme="1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b/>
      <sz val="10.0"/>
      <color rgb="FF2B1D15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CC4125"/>
      <name val="Arial"/>
    </font>
    <font>
      <color rgb="FF000000"/>
      <name val="Calibri"/>
      <scheme val="minor"/>
    </font>
    <font>
      <sz val="10.0"/>
      <color rgb="FFA61C00"/>
      <name val="Arial"/>
    </font>
    <font>
      <sz val="10.0"/>
      <color rgb="FF1F4E78"/>
      <name val="Arial"/>
    </font>
    <font>
      <u/>
      <sz val="10.0"/>
      <color rgb="FF1F4E78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B1D15"/>
        <bgColor rgb="FF2B1D15"/>
      </patternFill>
    </fill>
    <fill>
      <patternFill patternType="solid">
        <fgColor rgb="FFE8A33D"/>
        <bgColor rgb="FFE8A33D"/>
      </patternFill>
    </fill>
    <fill>
      <patternFill patternType="solid">
        <fgColor rgb="FFFFF7E8"/>
        <bgColor rgb="FFFFF7E8"/>
      </patternFill>
    </fill>
  </fills>
  <borders count="2">
    <border/>
    <border>
      <left style="thin">
        <color rgb="FFD9D2C5"/>
      </left>
      <right style="thin">
        <color rgb="FFD9D2C5"/>
      </right>
      <top style="thin">
        <color rgb="FFD9D2C5"/>
      </top>
      <bottom style="thin">
        <color rgb="FFD9D2C5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1" fillId="3" fontId="6" numFmtId="0" xfId="0" applyAlignment="1" applyBorder="1" applyFont="1">
      <alignment horizontal="center" shrinkToFit="0" vertical="bottom" wrapText="0"/>
    </xf>
    <xf borderId="0" fillId="0" fontId="9" numFmtId="0" xfId="0" applyFont="1"/>
    <xf borderId="1" fillId="0" fontId="10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4" fontId="11" numFmtId="0" xfId="0" applyAlignment="1" applyBorder="1" applyFill="1" applyFont="1">
      <alignment horizontal="center" readingOrder="0" shrinkToFit="0" vertical="bottom" wrapText="0"/>
    </xf>
    <xf borderId="1" fillId="4" fontId="11" numFmtId="0" xfId="0" applyAlignment="1" applyBorder="1" applyFont="1">
      <alignment horizontal="center" shrinkToFit="0" vertical="bottom" wrapText="0"/>
    </xf>
    <xf borderId="1" fillId="2" fontId="3" numFmtId="0" xfId="0" applyAlignment="1" applyBorder="1" applyFont="1">
      <alignment horizontal="center" readingOrder="0" shrinkToFit="0" vertical="center" wrapText="1"/>
    </xf>
    <xf borderId="1" fillId="4" fontId="12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 t="s">
        <v>0</v>
      </c>
    </row>
    <row r="2">
      <c r="A2" s="2"/>
    </row>
    <row r="3">
      <c r="A3" s="2" t="s">
        <v>1</v>
      </c>
    </row>
    <row r="4">
      <c r="A4" s="2" t="s">
        <v>2</v>
      </c>
    </row>
    <row r="5">
      <c r="A5" s="2" t="s">
        <v>3</v>
      </c>
    </row>
    <row r="6">
      <c r="A6" s="2" t="s">
        <v>4</v>
      </c>
    </row>
    <row r="7">
      <c r="A7" s="2"/>
    </row>
    <row r="8">
      <c r="A8" s="2" t="s">
        <v>5</v>
      </c>
    </row>
    <row r="9">
      <c r="A9" s="2" t="s">
        <v>6</v>
      </c>
    </row>
    <row r="10">
      <c r="A10" s="2" t="s">
        <v>7</v>
      </c>
    </row>
    <row r="11">
      <c r="A11" s="2" t="s">
        <v>8</v>
      </c>
    </row>
    <row r="12">
      <c r="A12" s="2" t="s">
        <v>9</v>
      </c>
    </row>
    <row r="13">
      <c r="A13" s="2" t="s">
        <v>10</v>
      </c>
    </row>
    <row r="14">
      <c r="A14" s="2" t="s">
        <v>11</v>
      </c>
    </row>
    <row r="15">
      <c r="A15" s="2" t="s">
        <v>12</v>
      </c>
    </row>
    <row r="16">
      <c r="A16" s="2" t="s">
        <v>13</v>
      </c>
    </row>
    <row r="17">
      <c r="A17" s="2"/>
    </row>
    <row r="18">
      <c r="A18" s="2" t="s">
        <v>14</v>
      </c>
    </row>
    <row r="19">
      <c r="A19" s="2" t="s">
        <v>15</v>
      </c>
    </row>
    <row r="20">
      <c r="A20" s="2" t="s">
        <v>16</v>
      </c>
    </row>
    <row r="21" ht="15.75" customHeight="1">
      <c r="A21" s="2" t="s">
        <v>17</v>
      </c>
    </row>
    <row r="22" ht="15.75" customHeight="1">
      <c r="A22" s="2" t="s">
        <v>18</v>
      </c>
    </row>
    <row r="23" ht="15.75" customHeight="1">
      <c r="A23" s="2" t="s">
        <v>19</v>
      </c>
    </row>
    <row r="24" ht="15.75" customHeight="1">
      <c r="A24" s="2" t="s">
        <v>20</v>
      </c>
    </row>
    <row r="25" ht="15.75" customHeight="1">
      <c r="A25" s="2" t="s">
        <v>21</v>
      </c>
    </row>
    <row r="26" ht="15.75" customHeight="1">
      <c r="A26" s="2" t="s">
        <v>22</v>
      </c>
    </row>
    <row r="27" ht="15.75" customHeight="1">
      <c r="A27" s="2" t="s">
        <v>23</v>
      </c>
    </row>
    <row r="28" ht="15.75" customHeight="1">
      <c r="A28" s="2" t="s">
        <v>24</v>
      </c>
    </row>
    <row r="29" ht="15.75" customHeight="1">
      <c r="A29" s="2" t="s">
        <v>25</v>
      </c>
    </row>
    <row r="30" ht="15.75" customHeight="1">
      <c r="A30" s="2"/>
    </row>
    <row r="31" ht="15.75" customHeight="1">
      <c r="A31" s="2" t="s">
        <v>26</v>
      </c>
    </row>
    <row r="32" ht="15.75" customHeight="1">
      <c r="A32" s="2" t="s">
        <v>27</v>
      </c>
    </row>
    <row r="33" ht="15.75" customHeight="1">
      <c r="A33" s="2" t="s">
        <v>28</v>
      </c>
    </row>
    <row r="34" ht="15.75" customHeight="1">
      <c r="A34" s="2"/>
    </row>
    <row r="35" ht="15.75" customHeight="1">
      <c r="A35" s="2" t="s">
        <v>29</v>
      </c>
    </row>
    <row r="36" ht="15.75" customHeight="1">
      <c r="A36" s="2" t="s">
        <v>30</v>
      </c>
    </row>
    <row r="37" ht="15.75" customHeight="1">
      <c r="A37" s="2" t="s">
        <v>31</v>
      </c>
    </row>
    <row r="38" ht="15.75" customHeight="1">
      <c r="A38" s="2" t="s">
        <v>32</v>
      </c>
    </row>
    <row r="39" ht="15.75" customHeight="1">
      <c r="A39" s="2" t="s">
        <v>33</v>
      </c>
    </row>
    <row r="40" ht="15.75" customHeight="1">
      <c r="A40" s="2" t="s">
        <v>34</v>
      </c>
    </row>
    <row r="41" ht="15.75" customHeight="1">
      <c r="A41" s="2"/>
    </row>
    <row r="42" ht="15.75" customHeight="1">
      <c r="A42" s="2" t="s">
        <v>35</v>
      </c>
    </row>
    <row r="43" ht="15.75" customHeight="1">
      <c r="A43" s="2" t="s">
        <v>36</v>
      </c>
    </row>
    <row r="44" ht="15.75" customHeight="1">
      <c r="A44" s="2" t="s">
        <v>37</v>
      </c>
    </row>
    <row r="45" ht="15.75" customHeight="1">
      <c r="A45" s="2" t="s">
        <v>38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0"/>
    <col customWidth="1" min="2" max="2" width="38.0"/>
    <col customWidth="1" min="3" max="3" width="9.0"/>
    <col customWidth="1" min="4" max="4" width="55.0"/>
    <col customWidth="1" min="5" max="26" width="8.71"/>
  </cols>
  <sheetData>
    <row r="1">
      <c r="A1" s="1" t="s">
        <v>39</v>
      </c>
    </row>
    <row r="3">
      <c r="A3" s="3" t="s">
        <v>40</v>
      </c>
      <c r="B3" s="3" t="s">
        <v>41</v>
      </c>
      <c r="C3" s="3" t="s">
        <v>42</v>
      </c>
      <c r="D3" s="3" t="s">
        <v>43</v>
      </c>
    </row>
    <row r="4">
      <c r="A4" s="4" t="s">
        <v>44</v>
      </c>
      <c r="B4" s="4" t="s">
        <v>45</v>
      </c>
      <c r="C4" s="5">
        <v>5.0</v>
      </c>
      <c r="D4" s="4" t="s">
        <v>46</v>
      </c>
    </row>
    <row r="5">
      <c r="A5" s="4" t="s">
        <v>44</v>
      </c>
      <c r="B5" s="4" t="s">
        <v>47</v>
      </c>
      <c r="C5" s="5">
        <v>20.0</v>
      </c>
      <c r="D5" s="4" t="s">
        <v>48</v>
      </c>
    </row>
    <row r="6">
      <c r="A6" s="4" t="s">
        <v>44</v>
      </c>
      <c r="B6" s="4" t="s">
        <v>49</v>
      </c>
      <c r="C6" s="5">
        <v>30.0</v>
      </c>
      <c r="D6" s="4" t="s">
        <v>50</v>
      </c>
    </row>
    <row r="7">
      <c r="A7" s="4" t="s">
        <v>51</v>
      </c>
      <c r="B7" s="4" t="s">
        <v>52</v>
      </c>
      <c r="C7" s="5">
        <v>10.0</v>
      </c>
      <c r="D7" s="4" t="s">
        <v>53</v>
      </c>
    </row>
    <row r="8">
      <c r="A8" s="4" t="s">
        <v>51</v>
      </c>
      <c r="B8" s="4" t="s">
        <v>54</v>
      </c>
      <c r="C8" s="5">
        <v>15.0</v>
      </c>
      <c r="D8" s="4" t="s">
        <v>55</v>
      </c>
    </row>
    <row r="9">
      <c r="A9" s="4" t="s">
        <v>51</v>
      </c>
      <c r="B9" s="4" t="s">
        <v>56</v>
      </c>
      <c r="C9" s="5">
        <v>10.0</v>
      </c>
      <c r="D9" s="4" t="s">
        <v>57</v>
      </c>
    </row>
    <row r="10">
      <c r="A10" s="4" t="s">
        <v>51</v>
      </c>
      <c r="B10" s="4" t="s">
        <v>58</v>
      </c>
      <c r="C10" s="5">
        <v>20.0</v>
      </c>
      <c r="D10" s="4" t="s">
        <v>59</v>
      </c>
    </row>
    <row r="11">
      <c r="A11" s="4" t="s">
        <v>51</v>
      </c>
      <c r="B11" s="4" t="s">
        <v>60</v>
      </c>
      <c r="C11" s="5">
        <v>25.0</v>
      </c>
      <c r="D11" s="4" t="s">
        <v>61</v>
      </c>
    </row>
    <row r="12">
      <c r="A12" s="4" t="s">
        <v>51</v>
      </c>
      <c r="B12" s="4" t="s">
        <v>62</v>
      </c>
      <c r="C12" s="5">
        <v>15.0</v>
      </c>
      <c r="D12" s="4" t="s">
        <v>63</v>
      </c>
    </row>
    <row r="13">
      <c r="A13" s="4" t="s">
        <v>51</v>
      </c>
      <c r="B13" s="4" t="s">
        <v>64</v>
      </c>
      <c r="C13" s="5">
        <v>5.0</v>
      </c>
      <c r="D13" s="4" t="s">
        <v>65</v>
      </c>
    </row>
    <row r="14">
      <c r="A14" s="4" t="s">
        <v>51</v>
      </c>
      <c r="B14" s="4" t="s">
        <v>66</v>
      </c>
      <c r="C14" s="5">
        <v>50.0</v>
      </c>
      <c r="D14" s="4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7.0"/>
    <col customWidth="1" min="2" max="2" width="12.0"/>
    <col customWidth="1" min="3" max="3" width="26.0"/>
    <col customWidth="1" min="4" max="4" width="18.0"/>
    <col customWidth="1" min="5" max="10" width="9.0"/>
    <col customWidth="1" min="11" max="11" width="13.0"/>
    <col customWidth="1" min="12" max="26" width="8.71"/>
  </cols>
  <sheetData>
    <row r="1">
      <c r="A1" s="3" t="s">
        <v>68</v>
      </c>
      <c r="B1" s="3" t="s">
        <v>69</v>
      </c>
      <c r="C1" s="3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  <c r="J1" s="3" t="s">
        <v>77</v>
      </c>
      <c r="K1" s="3" t="s">
        <v>78</v>
      </c>
    </row>
    <row r="2">
      <c r="A2" s="6">
        <f t="shared" ref="A2:A96" si="1">RANK($K2,$K$2:$K$96)</f>
        <v>7</v>
      </c>
      <c r="B2" s="7" t="s">
        <v>79</v>
      </c>
      <c r="C2" s="7" t="s">
        <v>80</v>
      </c>
      <c r="D2" s="7" t="s">
        <v>81</v>
      </c>
      <c r="E2" s="5">
        <f>ROUND(IFERROR(AVERAGEIF(Week1_Individual!$B:$B,$C2,Week1_Individual!$H:$H),0)+IFERROR(VLOOKUP($C2,Week1_Team!$B:$K,10,FALSE()),0),1)</f>
        <v>82.5</v>
      </c>
      <c r="F2" s="5">
        <f>ROUND(IFERROR(AVERAGEIF(Week2_Individual!$B:$B,$C2,Week2_Individual!$H:$H),0)+IFERROR(VLOOKUP($C2,Week2_Team!$B:$K,10,FALSE()),0),1)</f>
        <v>135</v>
      </c>
      <c r="G2" s="5">
        <f>ROUND(IFERROR(AVERAGEIF(Week3_Individual!$B:$B,$C2,Week3_Individual!$H:$H),0)+IFERROR(VLOOKUP($C2,Week3_Team!$B:$K,10,FALSE()),0),1)</f>
        <v>95</v>
      </c>
      <c r="H2" s="5">
        <f>ROUND(IFERROR(AVERAGEIF(Week4_Individual!$B:$B,$C2,Week4_Individual!$H:$H),0)+IFERROR(VLOOKUP($C2,Week4_Team!$B:$K,10,FALSE()),0),1)</f>
        <v>327.5</v>
      </c>
      <c r="I2" s="5">
        <f>ROUND(IFERROR(AVERAGEIF(Week5_Individual!$B:$B,$C2,Week5_Individual!$H:$H),0)+IFERROR(VLOOKUP($C2,Week5_Team!$B:$K,10,FALSE()),0),1)</f>
        <v>0</v>
      </c>
      <c r="J2" s="8">
        <v>0.0</v>
      </c>
      <c r="K2" s="9">
        <f t="shared" ref="K2:K96" si="2">SUM(E2:J2)</f>
        <v>640</v>
      </c>
    </row>
    <row r="3">
      <c r="A3" s="6">
        <f t="shared" si="1"/>
        <v>13</v>
      </c>
      <c r="B3" s="7" t="s">
        <v>82</v>
      </c>
      <c r="C3" s="7" t="s">
        <v>83</v>
      </c>
      <c r="D3" s="7" t="s">
        <v>81</v>
      </c>
      <c r="E3" s="5">
        <f>ROUND(IFERROR(AVERAGEIF(Week1_Individual!$B:$B,$C3,Week1_Individual!$H:$H),0)+IFERROR(VLOOKUP($C3,Week1_Team!$B:$K,10,FALSE()),0),1)</f>
        <v>75</v>
      </c>
      <c r="F3" s="5">
        <f>ROUND(IFERROR(AVERAGEIF(Week2_Individual!$B:$B,$C3,Week2_Individual!$H:$H),0)+IFERROR(VLOOKUP($C3,Week2_Team!$B:$K,10,FALSE()),0),1)</f>
        <v>145</v>
      </c>
      <c r="G3" s="5">
        <f>ROUND(IFERROR(AVERAGEIF(Week3_Individual!$B:$B,$C3,Week3_Individual!$H:$H),0)+IFERROR(VLOOKUP($C3,Week3_Team!$B:$K,10,FALSE()),0),1)</f>
        <v>125</v>
      </c>
      <c r="H3" s="5">
        <f>ROUND(IFERROR(AVERAGEIF(Week4_Individual!$B:$B,$C3,Week4_Individual!$H:$H),0)+IFERROR(VLOOKUP($C3,Week4_Team!$B:$K,10,FALSE()),0),1)</f>
        <v>0</v>
      </c>
      <c r="I3" s="5">
        <f>ROUND(IFERROR(AVERAGEIF(Week5_Individual!$B:$B,$C3,Week5_Individual!$H:$H),0)+IFERROR(VLOOKUP($C3,Week5_Team!$B:$K,10,FALSE()),0),1)</f>
        <v>0</v>
      </c>
      <c r="J3" s="8">
        <v>0.0</v>
      </c>
      <c r="K3" s="9">
        <f t="shared" si="2"/>
        <v>345</v>
      </c>
    </row>
    <row r="4">
      <c r="A4" s="10">
        <f t="shared" si="1"/>
        <v>47</v>
      </c>
      <c r="B4" s="11" t="s">
        <v>84</v>
      </c>
      <c r="C4" s="12" t="s">
        <v>85</v>
      </c>
      <c r="D4" s="11" t="s">
        <v>86</v>
      </c>
      <c r="E4" s="13">
        <f>ROUND(IFERROR(AVERAGEIF(Week1_Individual!$B:$B,$C4,Week1_Individual!$H:$H),0)+IFERROR(VLOOKUP($C4,Week1_Team!$B:$K,10,FALSE()),0),1)</f>
        <v>0</v>
      </c>
      <c r="F4" s="13">
        <f>ROUND(IFERROR(AVERAGEIF(Week2_Individual!$B:$B,$C4,Week2_Individual!$H:$H),0)+IFERROR(VLOOKUP($C4,Week2_Team!$B:$K,10,FALSE()),0),1)</f>
        <v>0</v>
      </c>
      <c r="G4" s="13">
        <f>ROUND(IFERROR(AVERAGEIF(Week3_Individual!$B:$B,$C4,Week3_Individual!$H:$H),0)+IFERROR(VLOOKUP($C4,Week3_Team!$B:$K,10,FALSE()),0),1)</f>
        <v>0</v>
      </c>
      <c r="H4" s="13">
        <f>ROUND(IFERROR(AVERAGEIF(Week4_Individual!$B:$B,$C4,Week4_Individual!$H:$H),0)+IFERROR(VLOOKUP($C4,Week4_Team!$B:$K,10,FALSE()),0),1)</f>
        <v>0</v>
      </c>
      <c r="I4" s="13">
        <f>ROUND(IFERROR(AVERAGEIF(Week5_Individual!$B:$B,$C4,Week5_Individual!$H:$H),0)+IFERROR(VLOOKUP($C4,Week5_Team!$B:$K,10,FALSE()),0),1)</f>
        <v>0</v>
      </c>
      <c r="J4" s="8">
        <v>0.0</v>
      </c>
      <c r="K4" s="14">
        <f t="shared" si="2"/>
        <v>0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6">
        <f t="shared" si="1"/>
        <v>30</v>
      </c>
      <c r="B5" s="7" t="s">
        <v>87</v>
      </c>
      <c r="C5" s="7" t="s">
        <v>88</v>
      </c>
      <c r="D5" s="7" t="s">
        <v>81</v>
      </c>
      <c r="E5" s="5">
        <f>ROUND(IFERROR(AVERAGEIF(Week1_Individual!$B:$B,$C5,Week1_Individual!$H:$H),0)+IFERROR(VLOOKUP($C5,Week1_Team!$B:$K,10,FALSE()),0),1)</f>
        <v>10</v>
      </c>
      <c r="F5" s="5">
        <f>ROUND(IFERROR(AVERAGEIF(Week2_Individual!$B:$B,$C5,Week2_Individual!$H:$H),0)+IFERROR(VLOOKUP($C5,Week2_Team!$B:$K,10,FALSE()),0),1)</f>
        <v>20</v>
      </c>
      <c r="G5" s="5">
        <f>ROUND(IFERROR(AVERAGEIF(Week3_Individual!$B:$B,$C5,Week3_Individual!$H:$H),0)+IFERROR(VLOOKUP($C5,Week3_Team!$B:$K,10,FALSE()),0),1)</f>
        <v>0</v>
      </c>
      <c r="H5" s="5">
        <f>ROUND(IFERROR(AVERAGEIF(Week4_Individual!$B:$B,$C5,Week4_Individual!$H:$H),0)+IFERROR(VLOOKUP($C5,Week4_Team!$B:$K,10,FALSE()),0),1)</f>
        <v>0</v>
      </c>
      <c r="I5" s="5">
        <f>ROUND(IFERROR(AVERAGEIF(Week5_Individual!$B:$B,$C5,Week5_Individual!$H:$H),0)+IFERROR(VLOOKUP($C5,Week5_Team!$B:$K,10,FALSE()),0),1)</f>
        <v>0</v>
      </c>
      <c r="J5" s="8">
        <v>0.0</v>
      </c>
      <c r="K5" s="9">
        <f t="shared" si="2"/>
        <v>30</v>
      </c>
    </row>
    <row r="6">
      <c r="A6" s="6">
        <f t="shared" si="1"/>
        <v>47</v>
      </c>
      <c r="B6" s="7" t="s">
        <v>89</v>
      </c>
      <c r="C6" s="7" t="s">
        <v>90</v>
      </c>
      <c r="D6" s="7" t="s">
        <v>81</v>
      </c>
      <c r="E6" s="5">
        <f>ROUND(IFERROR(AVERAGEIF(Week1_Individual!$B:$B,$C6,Week1_Individual!$H:$H),0)+IFERROR(VLOOKUP($C6,Week1_Team!$B:$K,10,FALSE()),0),1)</f>
        <v>0</v>
      </c>
      <c r="F6" s="5">
        <f>ROUND(IFERROR(AVERAGEIF(Week2_Individual!$B:$B,$C6,Week2_Individual!$H:$H),0)+IFERROR(VLOOKUP($C6,Week2_Team!$B:$K,10,FALSE()),0),1)</f>
        <v>0</v>
      </c>
      <c r="G6" s="5">
        <f>ROUND(IFERROR(AVERAGEIF(Week3_Individual!$B:$B,$C6,Week3_Individual!$H:$H),0)+IFERROR(VLOOKUP($C6,Week3_Team!$B:$K,10,FALSE()),0),1)</f>
        <v>0</v>
      </c>
      <c r="H6" s="5">
        <f>ROUND(IFERROR(AVERAGEIF(Week4_Individual!$B:$B,$C6,Week4_Individual!$H:$H),0)+IFERROR(VLOOKUP($C6,Week4_Team!$B:$K,10,FALSE()),0),1)</f>
        <v>0</v>
      </c>
      <c r="I6" s="5">
        <f>ROUND(IFERROR(AVERAGEIF(Week5_Individual!$B:$B,$C6,Week5_Individual!$H:$H),0)+IFERROR(VLOOKUP($C6,Week5_Team!$B:$K,10,FALSE()),0),1)</f>
        <v>0</v>
      </c>
      <c r="J6" s="8">
        <v>0.0</v>
      </c>
      <c r="K6" s="9">
        <f t="shared" si="2"/>
        <v>0</v>
      </c>
    </row>
    <row r="7">
      <c r="A7" s="6">
        <f t="shared" si="1"/>
        <v>34</v>
      </c>
      <c r="B7" s="7" t="s">
        <v>91</v>
      </c>
      <c r="C7" s="7" t="s">
        <v>92</v>
      </c>
      <c r="D7" s="7" t="s">
        <v>81</v>
      </c>
      <c r="E7" s="5">
        <f>ROUND(IFERROR(AVERAGEIF(Week1_Individual!$B:$B,$C7,Week1_Individual!$H:$H),0)+IFERROR(VLOOKUP($C7,Week1_Team!$B:$K,10,FALSE()),0),1)</f>
        <v>0</v>
      </c>
      <c r="F7" s="5">
        <f>ROUND(IFERROR(AVERAGEIF(Week2_Individual!$B:$B,$C7,Week2_Individual!$H:$H),0)+IFERROR(VLOOKUP($C7,Week2_Team!$B:$K,10,FALSE()),0),1)</f>
        <v>20</v>
      </c>
      <c r="G7" s="5">
        <f>ROUND(IFERROR(AVERAGEIF(Week3_Individual!$B:$B,$C7,Week3_Individual!$H:$H),0)+IFERROR(VLOOKUP($C7,Week3_Team!$B:$K,10,FALSE()),0),1)</f>
        <v>0</v>
      </c>
      <c r="H7" s="5">
        <f>ROUND(IFERROR(AVERAGEIF(Week4_Individual!$B:$B,$C7,Week4_Individual!$H:$H),0)+IFERROR(VLOOKUP($C7,Week4_Team!$B:$K,10,FALSE()),0),1)</f>
        <v>0</v>
      </c>
      <c r="I7" s="5">
        <f>ROUND(IFERROR(AVERAGEIF(Week5_Individual!$B:$B,$C7,Week5_Individual!$H:$H),0)+IFERROR(VLOOKUP($C7,Week5_Team!$B:$K,10,FALSE()),0),1)</f>
        <v>0</v>
      </c>
      <c r="J7" s="8">
        <v>0.0</v>
      </c>
      <c r="K7" s="9">
        <f t="shared" si="2"/>
        <v>20</v>
      </c>
    </row>
    <row r="8">
      <c r="A8" s="6">
        <f t="shared" si="1"/>
        <v>8</v>
      </c>
      <c r="B8" s="7" t="s">
        <v>93</v>
      </c>
      <c r="C8" s="7" t="s">
        <v>94</v>
      </c>
      <c r="D8" s="7" t="s">
        <v>95</v>
      </c>
      <c r="E8" s="5">
        <f>ROUND(IFERROR(AVERAGEIF(Week1_Individual!$B:$B,$C8,Week1_Individual!$H:$H),0)+IFERROR(VLOOKUP($C8,Week1_Team!$B:$K,10,FALSE()),0),1)</f>
        <v>50</v>
      </c>
      <c r="F8" s="5">
        <f>ROUND(IFERROR(AVERAGEIF(Week2_Individual!$B:$B,$C8,Week2_Individual!$H:$H),0)+IFERROR(VLOOKUP($C8,Week2_Team!$B:$K,10,FALSE()),0),1)</f>
        <v>120</v>
      </c>
      <c r="G8" s="5">
        <f>ROUND(IFERROR(AVERAGEIF(Week3_Individual!$B:$B,$C8,Week3_Individual!$H:$H),0)+IFERROR(VLOOKUP($C8,Week3_Team!$B:$K,10,FALSE()),0),1)</f>
        <v>157.5</v>
      </c>
      <c r="H8" s="5">
        <f>ROUND(IFERROR(AVERAGEIF(Week4_Individual!$B:$B,$C8,Week4_Individual!$H:$H),0)+IFERROR(VLOOKUP($C8,Week4_Team!$B:$K,10,FALSE()),0),1)</f>
        <v>307.5</v>
      </c>
      <c r="I8" s="5">
        <f>ROUND(IFERROR(AVERAGEIF(Week5_Individual!$B:$B,$C8,Week5_Individual!$H:$H),0)+IFERROR(VLOOKUP($C8,Week5_Team!$B:$K,10,FALSE()),0),1)</f>
        <v>0</v>
      </c>
      <c r="J8" s="8">
        <v>0.0</v>
      </c>
      <c r="K8" s="9">
        <f t="shared" si="2"/>
        <v>635</v>
      </c>
    </row>
    <row r="9">
      <c r="A9" s="6">
        <f t="shared" si="1"/>
        <v>25</v>
      </c>
      <c r="B9" s="7" t="s">
        <v>96</v>
      </c>
      <c r="C9" s="7" t="s">
        <v>97</v>
      </c>
      <c r="D9" s="7" t="s">
        <v>81</v>
      </c>
      <c r="E9" s="5">
        <f>ROUND(IFERROR(AVERAGEIF(Week1_Individual!$B:$B,$C9,Week1_Individual!$H:$H),0)+IFERROR(VLOOKUP($C9,Week1_Team!$B:$K,10,FALSE()),0),1)</f>
        <v>0</v>
      </c>
      <c r="F9" s="5">
        <f>ROUND(IFERROR(AVERAGEIF(Week2_Individual!$B:$B,$C9,Week2_Individual!$H:$H),0)+IFERROR(VLOOKUP($C9,Week2_Team!$B:$K,10,FALSE()),0),1)</f>
        <v>40</v>
      </c>
      <c r="G9" s="5">
        <f>ROUND(IFERROR(AVERAGEIF(Week3_Individual!$B:$B,$C9,Week3_Individual!$H:$H),0)+IFERROR(VLOOKUP($C9,Week3_Team!$B:$K,10,FALSE()),0),1)</f>
        <v>25</v>
      </c>
      <c r="H9" s="5">
        <f>ROUND(IFERROR(AVERAGEIF(Week4_Individual!$B:$B,$C9,Week4_Individual!$H:$H),0)+IFERROR(VLOOKUP($C9,Week4_Team!$B:$K,10,FALSE()),0),1)</f>
        <v>0</v>
      </c>
      <c r="I9" s="5">
        <f>ROUND(IFERROR(AVERAGEIF(Week5_Individual!$B:$B,$C9,Week5_Individual!$H:$H),0)+IFERROR(VLOOKUP($C9,Week5_Team!$B:$K,10,FALSE()),0),1)</f>
        <v>0</v>
      </c>
      <c r="J9" s="8">
        <v>0.0</v>
      </c>
      <c r="K9" s="9">
        <f t="shared" si="2"/>
        <v>65</v>
      </c>
    </row>
    <row r="10">
      <c r="A10" s="6">
        <f t="shared" si="1"/>
        <v>30</v>
      </c>
      <c r="B10" s="7" t="s">
        <v>98</v>
      </c>
      <c r="C10" s="7" t="s">
        <v>99</v>
      </c>
      <c r="D10" s="7" t="s">
        <v>95</v>
      </c>
      <c r="E10" s="5">
        <f>ROUND(IFERROR(AVERAGEIF(Week1_Individual!$B:$B,$C10,Week1_Individual!$H:$H),0)+IFERROR(VLOOKUP($C10,Week1_Team!$B:$K,10,FALSE()),0),1)</f>
        <v>10</v>
      </c>
      <c r="F10" s="5">
        <f>ROUND(IFERROR(AVERAGEIF(Week2_Individual!$B:$B,$C10,Week2_Individual!$H:$H),0)+IFERROR(VLOOKUP($C10,Week2_Team!$B:$K,10,FALSE()),0),1)</f>
        <v>0</v>
      </c>
      <c r="G10" s="5">
        <f>ROUND(IFERROR(AVERAGEIF(Week3_Individual!$B:$B,$C10,Week3_Individual!$H:$H),0)+IFERROR(VLOOKUP($C10,Week3_Team!$B:$K,10,FALSE()),0),1)</f>
        <v>10</v>
      </c>
      <c r="H10" s="5">
        <f>ROUND(IFERROR(AVERAGEIF(Week4_Individual!$B:$B,$C10,Week4_Individual!$H:$H),0)+IFERROR(VLOOKUP($C10,Week4_Team!$B:$K,10,FALSE()),0),1)</f>
        <v>10</v>
      </c>
      <c r="I10" s="5">
        <f>ROUND(IFERROR(AVERAGEIF(Week5_Individual!$B:$B,$C10,Week5_Individual!$H:$H),0)+IFERROR(VLOOKUP($C10,Week5_Team!$B:$K,10,FALSE()),0),1)</f>
        <v>0</v>
      </c>
      <c r="J10" s="8">
        <v>0.0</v>
      </c>
      <c r="K10" s="9">
        <f t="shared" si="2"/>
        <v>30</v>
      </c>
    </row>
    <row r="11">
      <c r="A11" s="6">
        <f t="shared" si="1"/>
        <v>37</v>
      </c>
      <c r="B11" s="7" t="s">
        <v>100</v>
      </c>
      <c r="C11" s="7" t="s">
        <v>101</v>
      </c>
      <c r="D11" s="7" t="s">
        <v>95</v>
      </c>
      <c r="E11" s="5">
        <f>ROUND(IFERROR(AVERAGEIF(Week1_Individual!$B:$B,$C11,Week1_Individual!$H:$H),0)+IFERROR(VLOOKUP($C11,Week1_Team!$B:$K,10,FALSE()),0),1)</f>
        <v>10</v>
      </c>
      <c r="F11" s="5">
        <f>ROUND(IFERROR(AVERAGEIF(Week2_Individual!$B:$B,$C11,Week2_Individual!$H:$H),0)+IFERROR(VLOOKUP($C11,Week2_Team!$B:$K,10,FALSE()),0),1)</f>
        <v>0</v>
      </c>
      <c r="G11" s="5">
        <f>ROUND(IFERROR(AVERAGEIF(Week3_Individual!$B:$B,$C11,Week3_Individual!$H:$H),0)+IFERROR(VLOOKUP($C11,Week3_Team!$B:$K,10,FALSE()),0),1)</f>
        <v>0</v>
      </c>
      <c r="H11" s="5">
        <f>ROUND(IFERROR(AVERAGEIF(Week4_Individual!$B:$B,$C11,Week4_Individual!$H:$H),0)+IFERROR(VLOOKUP($C11,Week4_Team!$B:$K,10,FALSE()),0),1)</f>
        <v>0</v>
      </c>
      <c r="I11" s="5">
        <f>ROUND(IFERROR(AVERAGEIF(Week5_Individual!$B:$B,$C11,Week5_Individual!$H:$H),0)+IFERROR(VLOOKUP($C11,Week5_Team!$B:$K,10,FALSE()),0),1)</f>
        <v>0</v>
      </c>
      <c r="J11" s="8">
        <v>0.0</v>
      </c>
      <c r="K11" s="9">
        <f t="shared" si="2"/>
        <v>10</v>
      </c>
    </row>
    <row r="12">
      <c r="A12" s="6">
        <f t="shared" si="1"/>
        <v>1</v>
      </c>
      <c r="B12" s="7" t="s">
        <v>102</v>
      </c>
      <c r="C12" s="7" t="s">
        <v>103</v>
      </c>
      <c r="D12" s="7" t="s">
        <v>81</v>
      </c>
      <c r="E12" s="5">
        <f>ROUND(IFERROR(AVERAGEIF(Week1_Individual!$B:$B,$C12,Week1_Individual!$H:$H),0)+IFERROR(VLOOKUP($C12,Week1_Team!$B:$K,10,FALSE()),0),1)</f>
        <v>82.5</v>
      </c>
      <c r="F12" s="5">
        <f>ROUND(IFERROR(AVERAGEIF(Week2_Individual!$B:$B,$C12,Week2_Individual!$H:$H),0)+IFERROR(VLOOKUP($C12,Week2_Team!$B:$K,10,FALSE()),0),1)</f>
        <v>125</v>
      </c>
      <c r="G12" s="5">
        <f>ROUND(IFERROR(AVERAGEIF(Week3_Individual!$B:$B,$C12,Week3_Individual!$H:$H),0)+IFERROR(VLOOKUP($C12,Week3_Team!$B:$K,10,FALSE()),0),1)</f>
        <v>257.5</v>
      </c>
      <c r="H12" s="5">
        <f>ROUND(IFERROR(AVERAGEIF(Week4_Individual!$B:$B,$C12,Week4_Individual!$H:$H),0)+IFERROR(VLOOKUP($C12,Week4_Team!$B:$K,10,FALSE()),0),1)</f>
        <v>730</v>
      </c>
      <c r="I12" s="5">
        <f>ROUND(IFERROR(AVERAGEIF(Week5_Individual!$B:$B,$C12,Week5_Individual!$H:$H),0)+IFERROR(VLOOKUP($C12,Week5_Team!$B:$K,10,FALSE()),0),1)</f>
        <v>0</v>
      </c>
      <c r="J12" s="8">
        <v>0.0</v>
      </c>
      <c r="K12" s="9">
        <f t="shared" si="2"/>
        <v>1195</v>
      </c>
    </row>
    <row r="13">
      <c r="A13" s="6">
        <f t="shared" si="1"/>
        <v>22</v>
      </c>
      <c r="B13" s="7" t="s">
        <v>104</v>
      </c>
      <c r="C13" s="7" t="s">
        <v>105</v>
      </c>
      <c r="D13" s="7" t="s">
        <v>95</v>
      </c>
      <c r="E13" s="5">
        <f>ROUND(IFERROR(AVERAGEIF(Week1_Individual!$B:$B,$C13,Week1_Individual!$H:$H),0)+IFERROR(VLOOKUP($C13,Week1_Team!$B:$K,10,FALSE()),0),1)</f>
        <v>0</v>
      </c>
      <c r="F13" s="5">
        <f>ROUND(IFERROR(AVERAGEIF(Week2_Individual!$B:$B,$C13,Week2_Individual!$H:$H),0)+IFERROR(VLOOKUP($C13,Week2_Team!$B:$K,10,FALSE()),0),1)</f>
        <v>0</v>
      </c>
      <c r="G13" s="5">
        <f>ROUND(IFERROR(AVERAGEIF(Week3_Individual!$B:$B,$C13,Week3_Individual!$H:$H),0)+IFERROR(VLOOKUP($C13,Week3_Team!$B:$K,10,FALSE()),0),1)</f>
        <v>150</v>
      </c>
      <c r="H13" s="5">
        <f>ROUND(IFERROR(AVERAGEIF(Week4_Individual!$B:$B,$C13,Week4_Individual!$H:$H),0)+IFERROR(VLOOKUP($C13,Week4_Team!$B:$K,10,FALSE()),0),1)</f>
        <v>0</v>
      </c>
      <c r="I13" s="5">
        <f>ROUND(IFERROR(AVERAGEIF(Week5_Individual!$B:$B,$C13,Week5_Individual!$H:$H),0)+IFERROR(VLOOKUP($C13,Week5_Team!$B:$K,10,FALSE()),0),1)</f>
        <v>0</v>
      </c>
      <c r="J13" s="8">
        <v>0.0</v>
      </c>
      <c r="K13" s="9">
        <f t="shared" si="2"/>
        <v>150</v>
      </c>
    </row>
    <row r="14">
      <c r="A14" s="6">
        <f t="shared" si="1"/>
        <v>46</v>
      </c>
      <c r="B14" s="7" t="s">
        <v>106</v>
      </c>
      <c r="C14" s="7" t="s">
        <v>107</v>
      </c>
      <c r="D14" s="7" t="s">
        <v>81</v>
      </c>
      <c r="E14" s="5">
        <f>ROUND(IFERROR(AVERAGEIF(Week1_Individual!$B:$B,$C14,Week1_Individual!$H:$H),0)+IFERROR(VLOOKUP($C14,Week1_Team!$B:$K,10,FALSE()),0),1)</f>
        <v>0</v>
      </c>
      <c r="F14" s="5">
        <f>ROUND(IFERROR(AVERAGEIF(Week2_Individual!$B:$B,$C14,Week2_Individual!$H:$H),0)+IFERROR(VLOOKUP($C14,Week2_Team!$B:$K,10,FALSE()),0),1)</f>
        <v>1.7</v>
      </c>
      <c r="G14" s="5">
        <f>ROUND(IFERROR(AVERAGEIF(Week3_Individual!$B:$B,$C14,Week3_Individual!$H:$H),0)+IFERROR(VLOOKUP($C14,Week3_Team!$B:$K,10,FALSE()),0),1)</f>
        <v>0</v>
      </c>
      <c r="H14" s="5">
        <f>ROUND(IFERROR(AVERAGEIF(Week4_Individual!$B:$B,$C14,Week4_Individual!$H:$H),0)+IFERROR(VLOOKUP($C14,Week4_Team!$B:$K,10,FALSE()),0),1)</f>
        <v>0</v>
      </c>
      <c r="I14" s="5">
        <f>ROUND(IFERROR(AVERAGEIF(Week5_Individual!$B:$B,$C14,Week5_Individual!$H:$H),0)+IFERROR(VLOOKUP($C14,Week5_Team!$B:$K,10,FALSE()),0),1)</f>
        <v>0</v>
      </c>
      <c r="J14" s="8">
        <v>0.0</v>
      </c>
      <c r="K14" s="9">
        <f t="shared" si="2"/>
        <v>1.7</v>
      </c>
    </row>
    <row r="15">
      <c r="A15" s="6">
        <f t="shared" si="1"/>
        <v>47</v>
      </c>
      <c r="B15" s="7" t="s">
        <v>108</v>
      </c>
      <c r="C15" s="7" t="s">
        <v>109</v>
      </c>
      <c r="D15" s="7" t="s">
        <v>81</v>
      </c>
      <c r="E15" s="5">
        <f>ROUND(IFERROR(AVERAGEIF(Week1_Individual!$B:$B,$C15,Week1_Individual!$H:$H),0)+IFERROR(VLOOKUP($C15,Week1_Team!$B:$K,10,FALSE()),0),1)</f>
        <v>0</v>
      </c>
      <c r="F15" s="5">
        <f>ROUND(IFERROR(AVERAGEIF(Week2_Individual!$B:$B,$C15,Week2_Individual!$H:$H),0)+IFERROR(VLOOKUP($C15,Week2_Team!$B:$K,10,FALSE()),0),1)</f>
        <v>0</v>
      </c>
      <c r="G15" s="5">
        <f>ROUND(IFERROR(AVERAGEIF(Week3_Individual!$B:$B,$C15,Week3_Individual!$H:$H),0)+IFERROR(VLOOKUP($C15,Week3_Team!$B:$K,10,FALSE()),0),1)</f>
        <v>0</v>
      </c>
      <c r="H15" s="5">
        <f>ROUND(IFERROR(AVERAGEIF(Week4_Individual!$B:$B,$C15,Week4_Individual!$H:$H),0)+IFERROR(VLOOKUP($C15,Week4_Team!$B:$K,10,FALSE()),0),1)</f>
        <v>0</v>
      </c>
      <c r="I15" s="5">
        <f>ROUND(IFERROR(AVERAGEIF(Week5_Individual!$B:$B,$C15,Week5_Individual!$H:$H),0)+IFERROR(VLOOKUP($C15,Week5_Team!$B:$K,10,FALSE()),0),1)</f>
        <v>0</v>
      </c>
      <c r="J15" s="8">
        <v>0.0</v>
      </c>
      <c r="K15" s="9">
        <f t="shared" si="2"/>
        <v>0</v>
      </c>
    </row>
    <row r="16">
      <c r="A16" s="6">
        <f t="shared" si="1"/>
        <v>17</v>
      </c>
      <c r="B16" s="7" t="s">
        <v>110</v>
      </c>
      <c r="C16" s="7" t="s">
        <v>111</v>
      </c>
      <c r="D16" s="7" t="s">
        <v>95</v>
      </c>
      <c r="E16" s="5">
        <f>ROUND(IFERROR(AVERAGEIF(Week1_Individual!$B:$B,$C16,Week1_Individual!$H:$H),0)+IFERROR(VLOOKUP($C16,Week1_Team!$B:$K,10,FALSE()),0),1)</f>
        <v>50</v>
      </c>
      <c r="F16" s="5">
        <f>ROUND(IFERROR(AVERAGEIF(Week2_Individual!$B:$B,$C16,Week2_Individual!$H:$H),0)+IFERROR(VLOOKUP($C16,Week2_Team!$B:$K,10,FALSE()),0),1)</f>
        <v>45</v>
      </c>
      <c r="G16" s="5">
        <f>ROUND(IFERROR(AVERAGEIF(Week3_Individual!$B:$B,$C16,Week3_Individual!$H:$H),0)+IFERROR(VLOOKUP($C16,Week3_Team!$B:$K,10,FALSE()),0),1)</f>
        <v>86.7</v>
      </c>
      <c r="H16" s="5">
        <f>ROUND(IFERROR(AVERAGEIF(Week4_Individual!$B:$B,$C16,Week4_Individual!$H:$H),0)+IFERROR(VLOOKUP($C16,Week4_Team!$B:$K,10,FALSE()),0),1)</f>
        <v>96.7</v>
      </c>
      <c r="I16" s="5">
        <f>ROUND(IFERROR(AVERAGEIF(Week5_Individual!$B:$B,$C16,Week5_Individual!$H:$H),0)+IFERROR(VLOOKUP($C16,Week5_Team!$B:$K,10,FALSE()),0),1)</f>
        <v>0</v>
      </c>
      <c r="J16" s="8">
        <v>0.0</v>
      </c>
      <c r="K16" s="9">
        <f t="shared" si="2"/>
        <v>278.4</v>
      </c>
    </row>
    <row r="17">
      <c r="A17" s="10">
        <f t="shared" si="1"/>
        <v>47</v>
      </c>
      <c r="B17" s="11" t="s">
        <v>112</v>
      </c>
      <c r="C17" s="16" t="s">
        <v>113</v>
      </c>
      <c r="D17" s="11" t="s">
        <v>86</v>
      </c>
      <c r="E17" s="13">
        <f>ROUND(IFERROR(AVERAGEIF(Week1_Individual!$B:$B,$C17,Week1_Individual!$H:$H),0)+IFERROR(VLOOKUP($C17,Week1_Team!$B:$K,10,FALSE()),0),1)</f>
        <v>0</v>
      </c>
      <c r="F17" s="13">
        <f>ROUND(IFERROR(AVERAGEIF(Week2_Individual!$B:$B,$C17,Week2_Individual!$H:$H),0)+IFERROR(VLOOKUP($C17,Week2_Team!$B:$K,10,FALSE()),0),1)</f>
        <v>0</v>
      </c>
      <c r="G17" s="13">
        <f>ROUND(IFERROR(AVERAGEIF(Week3_Individual!$B:$B,$C17,Week3_Individual!$H:$H),0)+IFERROR(VLOOKUP($C17,Week3_Team!$B:$K,10,FALSE()),0),1)</f>
        <v>0</v>
      </c>
      <c r="H17" s="13">
        <f>ROUND(IFERROR(AVERAGEIF(Week4_Individual!$B:$B,$C17,Week4_Individual!$H:$H),0)+IFERROR(VLOOKUP($C17,Week4_Team!$B:$K,10,FALSE()),0),1)</f>
        <v>0</v>
      </c>
      <c r="I17" s="13">
        <f>ROUND(IFERROR(AVERAGEIF(Week5_Individual!$B:$B,$C17,Week5_Individual!$H:$H),0)+IFERROR(VLOOKUP($C17,Week5_Team!$B:$K,10,FALSE()),0),1)</f>
        <v>0</v>
      </c>
      <c r="J17" s="8">
        <v>0.0</v>
      </c>
      <c r="K17" s="14">
        <f t="shared" si="2"/>
        <v>0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6">
        <f t="shared" si="1"/>
        <v>47</v>
      </c>
      <c r="B18" s="7" t="s">
        <v>114</v>
      </c>
      <c r="C18" s="7" t="s">
        <v>115</v>
      </c>
      <c r="D18" s="7" t="s">
        <v>95</v>
      </c>
      <c r="E18" s="5">
        <f>ROUND(IFERROR(AVERAGEIF(Week1_Individual!$B:$B,$C18,Week1_Individual!$H:$H),0)+IFERROR(VLOOKUP($C18,Week1_Team!$B:$K,10,FALSE()),0),1)</f>
        <v>0</v>
      </c>
      <c r="F18" s="5">
        <f>ROUND(IFERROR(AVERAGEIF(Week2_Individual!$B:$B,$C18,Week2_Individual!$H:$H),0)+IFERROR(VLOOKUP($C18,Week2_Team!$B:$K,10,FALSE()),0),1)</f>
        <v>0</v>
      </c>
      <c r="G18" s="5">
        <f>ROUND(IFERROR(AVERAGEIF(Week3_Individual!$B:$B,$C18,Week3_Individual!$H:$H),0)+IFERROR(VLOOKUP($C18,Week3_Team!$B:$K,10,FALSE()),0),1)</f>
        <v>0</v>
      </c>
      <c r="H18" s="5">
        <f>ROUND(IFERROR(AVERAGEIF(Week4_Individual!$B:$B,$C18,Week4_Individual!$H:$H),0)+IFERROR(VLOOKUP($C18,Week4_Team!$B:$K,10,FALSE()),0),1)</f>
        <v>0</v>
      </c>
      <c r="I18" s="5">
        <f>ROUND(IFERROR(AVERAGEIF(Week5_Individual!$B:$B,$C18,Week5_Individual!$H:$H),0)+IFERROR(VLOOKUP($C18,Week5_Team!$B:$K,10,FALSE()),0),1)</f>
        <v>0</v>
      </c>
      <c r="J18" s="8">
        <v>0.0</v>
      </c>
      <c r="K18" s="9">
        <f t="shared" si="2"/>
        <v>0</v>
      </c>
    </row>
    <row r="19">
      <c r="A19" s="6">
        <f t="shared" si="1"/>
        <v>47</v>
      </c>
      <c r="B19" s="7" t="s">
        <v>116</v>
      </c>
      <c r="C19" s="7" t="s">
        <v>117</v>
      </c>
      <c r="D19" s="7" t="s">
        <v>81</v>
      </c>
      <c r="E19" s="5">
        <f>ROUND(IFERROR(AVERAGEIF(Week1_Individual!$B:$B,$C19,Week1_Individual!$H:$H),0)+IFERROR(VLOOKUP($C19,Week1_Team!$B:$K,10,FALSE()),0),1)</f>
        <v>0</v>
      </c>
      <c r="F19" s="5">
        <f>ROUND(IFERROR(AVERAGEIF(Week2_Individual!$B:$B,$C19,Week2_Individual!$H:$H),0)+IFERROR(VLOOKUP($C19,Week2_Team!$B:$K,10,FALSE()),0),1)</f>
        <v>0</v>
      </c>
      <c r="G19" s="5">
        <f>ROUND(IFERROR(AVERAGEIF(Week3_Individual!$B:$B,$C19,Week3_Individual!$H:$H),0)+IFERROR(VLOOKUP($C19,Week3_Team!$B:$K,10,FALSE()),0),1)</f>
        <v>0</v>
      </c>
      <c r="H19" s="5">
        <f>ROUND(IFERROR(AVERAGEIF(Week4_Individual!$B:$B,$C19,Week4_Individual!$H:$H),0)+IFERROR(VLOOKUP($C19,Week4_Team!$B:$K,10,FALSE()),0),1)</f>
        <v>0</v>
      </c>
      <c r="I19" s="5">
        <f>ROUND(IFERROR(AVERAGEIF(Week5_Individual!$B:$B,$C19,Week5_Individual!$H:$H),0)+IFERROR(VLOOKUP($C19,Week5_Team!$B:$K,10,FALSE()),0),1)</f>
        <v>0</v>
      </c>
      <c r="J19" s="8">
        <v>0.0</v>
      </c>
      <c r="K19" s="9">
        <f t="shared" si="2"/>
        <v>0</v>
      </c>
    </row>
    <row r="20">
      <c r="A20" s="6">
        <f t="shared" si="1"/>
        <v>11</v>
      </c>
      <c r="B20" s="7" t="s">
        <v>118</v>
      </c>
      <c r="C20" s="7" t="s">
        <v>119</v>
      </c>
      <c r="D20" s="7" t="s">
        <v>81</v>
      </c>
      <c r="E20" s="5">
        <f>ROUND(IFERROR(AVERAGEIF(Week1_Individual!$B:$B,$C20,Week1_Individual!$H:$H),0)+IFERROR(VLOOKUP($C20,Week1_Team!$B:$K,10,FALSE()),0),1)</f>
        <v>90</v>
      </c>
      <c r="F20" s="5">
        <f>ROUND(IFERROR(AVERAGEIF(Week2_Individual!$B:$B,$C20,Week2_Individual!$H:$H),0)+IFERROR(VLOOKUP($C20,Week2_Team!$B:$K,10,FALSE()),0),1)</f>
        <v>117.5</v>
      </c>
      <c r="G20" s="5">
        <f>ROUND(IFERROR(AVERAGEIF(Week3_Individual!$B:$B,$C20,Week3_Individual!$H:$H),0)+IFERROR(VLOOKUP($C20,Week3_Team!$B:$K,10,FALSE()),0),1)</f>
        <v>135</v>
      </c>
      <c r="H20" s="5">
        <f>ROUND(IFERROR(AVERAGEIF(Week4_Individual!$B:$B,$C20,Week4_Individual!$H:$H),0)+IFERROR(VLOOKUP($C20,Week4_Team!$B:$K,10,FALSE()),0),1)</f>
        <v>110</v>
      </c>
      <c r="I20" s="5">
        <f>ROUND(IFERROR(AVERAGEIF(Week5_Individual!$B:$B,$C20,Week5_Individual!$H:$H),0)+IFERROR(VLOOKUP($C20,Week5_Team!$B:$K,10,FALSE()),0),1)</f>
        <v>0</v>
      </c>
      <c r="J20" s="8">
        <v>0.0</v>
      </c>
      <c r="K20" s="9">
        <f t="shared" si="2"/>
        <v>452.5</v>
      </c>
    </row>
    <row r="21" ht="15.75" customHeight="1">
      <c r="A21" s="6">
        <f t="shared" si="1"/>
        <v>47</v>
      </c>
      <c r="B21" s="7" t="s">
        <v>120</v>
      </c>
      <c r="C21" s="7" t="s">
        <v>121</v>
      </c>
      <c r="D21" s="7" t="s">
        <v>95</v>
      </c>
      <c r="E21" s="5">
        <f>ROUND(IFERROR(AVERAGEIF(Week1_Individual!$B:$B,$C21,Week1_Individual!$H:$H),0)+IFERROR(VLOOKUP($C21,Week1_Team!$B:$K,10,FALSE()),0),1)</f>
        <v>0</v>
      </c>
      <c r="F21" s="5">
        <f>ROUND(IFERROR(AVERAGEIF(Week2_Individual!$B:$B,$C21,Week2_Individual!$H:$H),0)+IFERROR(VLOOKUP($C21,Week2_Team!$B:$K,10,FALSE()),0),1)</f>
        <v>0</v>
      </c>
      <c r="G21" s="5">
        <f>ROUND(IFERROR(AVERAGEIF(Week3_Individual!$B:$B,$C21,Week3_Individual!$H:$H),0)+IFERROR(VLOOKUP($C21,Week3_Team!$B:$K,10,FALSE()),0),1)</f>
        <v>0</v>
      </c>
      <c r="H21" s="5">
        <f>ROUND(IFERROR(AVERAGEIF(Week4_Individual!$B:$B,$C21,Week4_Individual!$H:$H),0)+IFERROR(VLOOKUP($C21,Week4_Team!$B:$K,10,FALSE()),0),1)</f>
        <v>0</v>
      </c>
      <c r="I21" s="5">
        <f>ROUND(IFERROR(AVERAGEIF(Week5_Individual!$B:$B,$C21,Week5_Individual!$H:$H),0)+IFERROR(VLOOKUP($C21,Week5_Team!$B:$K,10,FALSE()),0),1)</f>
        <v>0</v>
      </c>
      <c r="J21" s="8">
        <v>0.0</v>
      </c>
      <c r="K21" s="9">
        <f t="shared" si="2"/>
        <v>0</v>
      </c>
    </row>
    <row r="22" ht="15.75" customHeight="1">
      <c r="A22" s="6">
        <f t="shared" si="1"/>
        <v>47</v>
      </c>
      <c r="B22" s="7" t="s">
        <v>122</v>
      </c>
      <c r="C22" s="7" t="s">
        <v>123</v>
      </c>
      <c r="D22" s="7" t="s">
        <v>81</v>
      </c>
      <c r="E22" s="5">
        <f>ROUND(IFERROR(AVERAGEIF(Week1_Individual!$B:$B,$C22,Week1_Individual!$H:$H),0)+IFERROR(VLOOKUP($C22,Week1_Team!$B:$K,10,FALSE()),0),1)</f>
        <v>0</v>
      </c>
      <c r="F22" s="5">
        <f>ROUND(IFERROR(AVERAGEIF(Week2_Individual!$B:$B,$C22,Week2_Individual!$H:$H),0)+IFERROR(VLOOKUP($C22,Week2_Team!$B:$K,10,FALSE()),0),1)</f>
        <v>0</v>
      </c>
      <c r="G22" s="5">
        <f>ROUND(IFERROR(AVERAGEIF(Week3_Individual!$B:$B,$C22,Week3_Individual!$H:$H),0)+IFERROR(VLOOKUP($C22,Week3_Team!$B:$K,10,FALSE()),0),1)</f>
        <v>0</v>
      </c>
      <c r="H22" s="5">
        <f>ROUND(IFERROR(AVERAGEIF(Week4_Individual!$B:$B,$C22,Week4_Individual!$H:$H),0)+IFERROR(VLOOKUP($C22,Week4_Team!$B:$K,10,FALSE()),0),1)</f>
        <v>0</v>
      </c>
      <c r="I22" s="5">
        <f>ROUND(IFERROR(AVERAGEIF(Week5_Individual!$B:$B,$C22,Week5_Individual!$H:$H),0)+IFERROR(VLOOKUP($C22,Week5_Team!$B:$K,10,FALSE()),0),1)</f>
        <v>0</v>
      </c>
      <c r="J22" s="8">
        <v>0.0</v>
      </c>
      <c r="K22" s="9">
        <f t="shared" si="2"/>
        <v>0</v>
      </c>
    </row>
    <row r="23" ht="15.75" customHeight="1">
      <c r="A23" s="6">
        <f t="shared" si="1"/>
        <v>47</v>
      </c>
      <c r="B23" s="7" t="s">
        <v>124</v>
      </c>
      <c r="C23" s="7" t="s">
        <v>125</v>
      </c>
      <c r="D23" s="7" t="s">
        <v>81</v>
      </c>
      <c r="E23" s="5">
        <f>ROUND(IFERROR(AVERAGEIF(Week1_Individual!$B:$B,$C23,Week1_Individual!$H:$H),0)+IFERROR(VLOOKUP($C23,Week1_Team!$B:$K,10,FALSE()),0),1)</f>
        <v>0</v>
      </c>
      <c r="F23" s="5">
        <f>ROUND(IFERROR(AVERAGEIF(Week2_Individual!$B:$B,$C23,Week2_Individual!$H:$H),0)+IFERROR(VLOOKUP($C23,Week2_Team!$B:$K,10,FALSE()),0),1)</f>
        <v>0</v>
      </c>
      <c r="G23" s="5">
        <f>ROUND(IFERROR(AVERAGEIF(Week3_Individual!$B:$B,$C23,Week3_Individual!$H:$H),0)+IFERROR(VLOOKUP($C23,Week3_Team!$B:$K,10,FALSE()),0),1)</f>
        <v>0</v>
      </c>
      <c r="H23" s="5">
        <f>ROUND(IFERROR(AVERAGEIF(Week4_Individual!$B:$B,$C23,Week4_Individual!$H:$H),0)+IFERROR(VLOOKUP($C23,Week4_Team!$B:$K,10,FALSE()),0),1)</f>
        <v>0</v>
      </c>
      <c r="I23" s="5">
        <f>ROUND(IFERROR(AVERAGEIF(Week5_Individual!$B:$B,$C23,Week5_Individual!$H:$H),0)+IFERROR(VLOOKUP($C23,Week5_Team!$B:$K,10,FALSE()),0),1)</f>
        <v>0</v>
      </c>
      <c r="J23" s="8">
        <v>0.0</v>
      </c>
      <c r="K23" s="9">
        <f t="shared" si="2"/>
        <v>0</v>
      </c>
    </row>
    <row r="24" ht="15.75" customHeight="1">
      <c r="A24" s="6">
        <f t="shared" si="1"/>
        <v>47</v>
      </c>
      <c r="B24" s="7" t="s">
        <v>126</v>
      </c>
      <c r="C24" s="7" t="s">
        <v>127</v>
      </c>
      <c r="D24" s="7" t="s">
        <v>81</v>
      </c>
      <c r="E24" s="5">
        <f>ROUND(IFERROR(AVERAGEIF(Week1_Individual!$B:$B,$C24,Week1_Individual!$H:$H),0)+IFERROR(VLOOKUP($C24,Week1_Team!$B:$K,10,FALSE()),0),1)</f>
        <v>0</v>
      </c>
      <c r="F24" s="5">
        <f>ROUND(IFERROR(AVERAGEIF(Week2_Individual!$B:$B,$C24,Week2_Individual!$H:$H),0)+IFERROR(VLOOKUP($C24,Week2_Team!$B:$K,10,FALSE()),0),1)</f>
        <v>0</v>
      </c>
      <c r="G24" s="5">
        <f>ROUND(IFERROR(AVERAGEIF(Week3_Individual!$B:$B,$C24,Week3_Individual!$H:$H),0)+IFERROR(VLOOKUP($C24,Week3_Team!$B:$K,10,FALSE()),0),1)</f>
        <v>0</v>
      </c>
      <c r="H24" s="5">
        <f>ROUND(IFERROR(AVERAGEIF(Week4_Individual!$B:$B,$C24,Week4_Individual!$H:$H),0)+IFERROR(VLOOKUP($C24,Week4_Team!$B:$K,10,FALSE()),0),1)</f>
        <v>0</v>
      </c>
      <c r="I24" s="5">
        <f>ROUND(IFERROR(AVERAGEIF(Week5_Individual!$B:$B,$C24,Week5_Individual!$H:$H),0)+IFERROR(VLOOKUP($C24,Week5_Team!$B:$K,10,FALSE()),0),1)</f>
        <v>0</v>
      </c>
      <c r="J24" s="8">
        <v>0.0</v>
      </c>
      <c r="K24" s="9">
        <f t="shared" si="2"/>
        <v>0</v>
      </c>
    </row>
    <row r="25" ht="15.75" customHeight="1">
      <c r="A25" s="6">
        <f t="shared" si="1"/>
        <v>47</v>
      </c>
      <c r="B25" s="7" t="s">
        <v>128</v>
      </c>
      <c r="C25" s="7" t="s">
        <v>129</v>
      </c>
      <c r="D25" s="7" t="s">
        <v>95</v>
      </c>
      <c r="E25" s="5">
        <f>ROUND(IFERROR(AVERAGEIF(Week1_Individual!$B:$B,$C25,Week1_Individual!$H:$H),0)+IFERROR(VLOOKUP($C25,Week1_Team!$B:$K,10,FALSE()),0),1)</f>
        <v>0</v>
      </c>
      <c r="F25" s="5">
        <f>ROUND(IFERROR(AVERAGEIF(Week2_Individual!$B:$B,$C25,Week2_Individual!$H:$H),0)+IFERROR(VLOOKUP($C25,Week2_Team!$B:$K,10,FALSE()),0),1)</f>
        <v>0</v>
      </c>
      <c r="G25" s="5">
        <f>ROUND(IFERROR(AVERAGEIF(Week3_Individual!$B:$B,$C25,Week3_Individual!$H:$H),0)+IFERROR(VLOOKUP($C25,Week3_Team!$B:$K,10,FALSE()),0),1)</f>
        <v>0</v>
      </c>
      <c r="H25" s="5">
        <f>ROUND(IFERROR(AVERAGEIF(Week4_Individual!$B:$B,$C25,Week4_Individual!$H:$H),0)+IFERROR(VLOOKUP($C25,Week4_Team!$B:$K,10,FALSE()),0),1)</f>
        <v>0</v>
      </c>
      <c r="I25" s="5">
        <f>ROUND(IFERROR(AVERAGEIF(Week5_Individual!$B:$B,$C25,Week5_Individual!$H:$H),0)+IFERROR(VLOOKUP($C25,Week5_Team!$B:$K,10,FALSE()),0),1)</f>
        <v>0</v>
      </c>
      <c r="J25" s="8">
        <v>0.0</v>
      </c>
      <c r="K25" s="9">
        <f t="shared" si="2"/>
        <v>0</v>
      </c>
    </row>
    <row r="26" ht="15.75" customHeight="1">
      <c r="A26" s="6">
        <f t="shared" si="1"/>
        <v>47</v>
      </c>
      <c r="B26" s="7" t="s">
        <v>130</v>
      </c>
      <c r="C26" s="16" t="s">
        <v>131</v>
      </c>
      <c r="D26" s="7" t="s">
        <v>86</v>
      </c>
      <c r="E26" s="5">
        <f>ROUND(IFERROR(AVERAGEIF(Week1_Individual!$B:$B,$C26,Week1_Individual!$H:$H),0)+IFERROR(VLOOKUP($C26,Week1_Team!$B:$K,10,FALSE()),0),1)</f>
        <v>0</v>
      </c>
      <c r="F26" s="5">
        <f>ROUND(IFERROR(AVERAGEIF(Week2_Individual!$B:$B,$C26,Week2_Individual!$H:$H),0)+IFERROR(VLOOKUP($C26,Week2_Team!$B:$K,10,FALSE()),0),1)</f>
        <v>0</v>
      </c>
      <c r="G26" s="5">
        <f>ROUND(IFERROR(AVERAGEIF(Week3_Individual!$B:$B,$C26,Week3_Individual!$H:$H),0)+IFERROR(VLOOKUP($C26,Week3_Team!$B:$K,10,FALSE()),0),1)</f>
        <v>0</v>
      </c>
      <c r="H26" s="5">
        <f>ROUND(IFERROR(AVERAGEIF(Week4_Individual!$B:$B,$C26,Week4_Individual!$H:$H),0)+IFERROR(VLOOKUP($C26,Week4_Team!$B:$K,10,FALSE()),0),1)</f>
        <v>0</v>
      </c>
      <c r="I26" s="5">
        <f>ROUND(IFERROR(AVERAGEIF(Week5_Individual!$B:$B,$C26,Week5_Individual!$H:$H),0)+IFERROR(VLOOKUP($C26,Week5_Team!$B:$K,10,FALSE()),0),1)</f>
        <v>0</v>
      </c>
      <c r="J26" s="8">
        <v>0.0</v>
      </c>
      <c r="K26" s="9">
        <f t="shared" si="2"/>
        <v>0</v>
      </c>
    </row>
    <row r="27" ht="15.75" customHeight="1">
      <c r="A27" s="6">
        <f t="shared" si="1"/>
        <v>47</v>
      </c>
      <c r="B27" s="7" t="s">
        <v>132</v>
      </c>
      <c r="C27" s="12" t="s">
        <v>133</v>
      </c>
      <c r="D27" s="7" t="s">
        <v>86</v>
      </c>
      <c r="E27" s="5">
        <f>ROUND(IFERROR(AVERAGEIF(Week1_Individual!$B:$B,$C27,Week1_Individual!$H:$H),0)+IFERROR(VLOOKUP($C27,Week1_Team!$B:$K,10,FALSE()),0),1)</f>
        <v>0</v>
      </c>
      <c r="F27" s="5">
        <f>ROUND(IFERROR(AVERAGEIF(Week2_Individual!$B:$B,$C27,Week2_Individual!$H:$H),0)+IFERROR(VLOOKUP($C27,Week2_Team!$B:$K,10,FALSE()),0),1)</f>
        <v>0</v>
      </c>
      <c r="G27" s="5">
        <f>ROUND(IFERROR(AVERAGEIF(Week3_Individual!$B:$B,$C27,Week3_Individual!$H:$H),0)+IFERROR(VLOOKUP($C27,Week3_Team!$B:$K,10,FALSE()),0),1)</f>
        <v>0</v>
      </c>
      <c r="H27" s="5">
        <f>ROUND(IFERROR(AVERAGEIF(Week4_Individual!$B:$B,$C27,Week4_Individual!$H:$H),0)+IFERROR(VLOOKUP($C27,Week4_Team!$B:$K,10,FALSE()),0),1)</f>
        <v>0</v>
      </c>
      <c r="I27" s="5">
        <f>ROUND(IFERROR(AVERAGEIF(Week5_Individual!$B:$B,$C27,Week5_Individual!$H:$H),0)+IFERROR(VLOOKUP($C27,Week5_Team!$B:$K,10,FALSE()),0),1)</f>
        <v>0</v>
      </c>
      <c r="J27" s="8">
        <v>0.0</v>
      </c>
      <c r="K27" s="9">
        <f t="shared" si="2"/>
        <v>0</v>
      </c>
    </row>
    <row r="28" ht="15.75" customHeight="1">
      <c r="A28" s="6">
        <f t="shared" si="1"/>
        <v>47</v>
      </c>
      <c r="B28" s="7" t="s">
        <v>134</v>
      </c>
      <c r="C28" s="16" t="s">
        <v>135</v>
      </c>
      <c r="D28" s="7" t="s">
        <v>86</v>
      </c>
      <c r="E28" s="5">
        <f>ROUND(IFERROR(AVERAGEIF(Week1_Individual!$B:$B,$C28,Week1_Individual!$H:$H),0)+IFERROR(VLOOKUP($C28,Week1_Team!$B:$K,10,FALSE()),0),1)</f>
        <v>0</v>
      </c>
      <c r="F28" s="5">
        <f>ROUND(IFERROR(AVERAGEIF(Week2_Individual!$B:$B,$C28,Week2_Individual!$H:$H),0)+IFERROR(VLOOKUP($C28,Week2_Team!$B:$K,10,FALSE()),0),1)</f>
        <v>0</v>
      </c>
      <c r="G28" s="5">
        <f>ROUND(IFERROR(AVERAGEIF(Week3_Individual!$B:$B,$C28,Week3_Individual!$H:$H),0)+IFERROR(VLOOKUP($C28,Week3_Team!$B:$K,10,FALSE()),0),1)</f>
        <v>0</v>
      </c>
      <c r="H28" s="5">
        <f>ROUND(IFERROR(AVERAGEIF(Week4_Individual!$B:$B,$C28,Week4_Individual!$H:$H),0)+IFERROR(VLOOKUP($C28,Week4_Team!$B:$K,10,FALSE()),0),1)</f>
        <v>0</v>
      </c>
      <c r="I28" s="5">
        <f>ROUND(IFERROR(AVERAGEIF(Week5_Individual!$B:$B,$C28,Week5_Individual!$H:$H),0)+IFERROR(VLOOKUP($C28,Week5_Team!$B:$K,10,FALSE()),0),1)</f>
        <v>0</v>
      </c>
      <c r="J28" s="8">
        <v>0.0</v>
      </c>
      <c r="K28" s="9">
        <f t="shared" si="2"/>
        <v>0</v>
      </c>
    </row>
    <row r="29" ht="15.75" customHeight="1">
      <c r="A29" s="6">
        <f t="shared" si="1"/>
        <v>47</v>
      </c>
      <c r="B29" s="7" t="s">
        <v>136</v>
      </c>
      <c r="C29" s="16" t="s">
        <v>137</v>
      </c>
      <c r="D29" s="7" t="s">
        <v>86</v>
      </c>
      <c r="E29" s="5">
        <f>ROUND(IFERROR(AVERAGEIF(Week1_Individual!$B:$B,$C29,Week1_Individual!$H:$H),0)+IFERROR(VLOOKUP($C29,Week1_Team!$B:$K,10,FALSE()),0),1)</f>
        <v>0</v>
      </c>
      <c r="F29" s="5">
        <f>ROUND(IFERROR(AVERAGEIF(Week2_Individual!$B:$B,$C29,Week2_Individual!$H:$H),0)+IFERROR(VLOOKUP($C29,Week2_Team!$B:$K,10,FALSE()),0),1)</f>
        <v>0</v>
      </c>
      <c r="G29" s="5">
        <f>ROUND(IFERROR(AVERAGEIF(Week3_Individual!$B:$B,$C29,Week3_Individual!$H:$H),0)+IFERROR(VLOOKUP($C29,Week3_Team!$B:$K,10,FALSE()),0),1)</f>
        <v>0</v>
      </c>
      <c r="H29" s="5">
        <f>ROUND(IFERROR(AVERAGEIF(Week4_Individual!$B:$B,$C29,Week4_Individual!$H:$H),0)+IFERROR(VLOOKUP($C29,Week4_Team!$B:$K,10,FALSE()),0),1)</f>
        <v>0</v>
      </c>
      <c r="I29" s="5">
        <f>ROUND(IFERROR(AVERAGEIF(Week5_Individual!$B:$B,$C29,Week5_Individual!$H:$H),0)+IFERROR(VLOOKUP($C29,Week5_Team!$B:$K,10,FALSE()),0),1)</f>
        <v>0</v>
      </c>
      <c r="J29" s="8">
        <v>0.0</v>
      </c>
      <c r="K29" s="9">
        <f t="shared" si="2"/>
        <v>0</v>
      </c>
    </row>
    <row r="30" ht="15.75" customHeight="1">
      <c r="A30" s="6">
        <f t="shared" si="1"/>
        <v>2</v>
      </c>
      <c r="B30" s="7" t="s">
        <v>138</v>
      </c>
      <c r="C30" s="7" t="s">
        <v>139</v>
      </c>
      <c r="D30" s="7" t="s">
        <v>81</v>
      </c>
      <c r="E30" s="5">
        <f>ROUND(IFERROR(AVERAGEIF(Week1_Individual!$B:$B,$C30,Week1_Individual!$H:$H),0)+IFERROR(VLOOKUP($C30,Week1_Team!$B:$K,10,FALSE()),0),1)</f>
        <v>90</v>
      </c>
      <c r="F30" s="5">
        <f>ROUND(IFERROR(AVERAGEIF(Week2_Individual!$B:$B,$C30,Week2_Individual!$H:$H),0)+IFERROR(VLOOKUP($C30,Week2_Team!$B:$K,10,FALSE()),0),1)</f>
        <v>150</v>
      </c>
      <c r="G30" s="5">
        <f>ROUND(IFERROR(AVERAGEIF(Week3_Individual!$B:$B,$C30,Week3_Individual!$H:$H),0)+IFERROR(VLOOKUP($C30,Week3_Team!$B:$K,10,FALSE()),0),1)</f>
        <v>205</v>
      </c>
      <c r="H30" s="5">
        <f>ROUND(IFERROR(AVERAGEIF(Week4_Individual!$B:$B,$C30,Week4_Individual!$H:$H),0)+IFERROR(VLOOKUP($C30,Week4_Team!$B:$K,10,FALSE()),0),1)</f>
        <v>665</v>
      </c>
      <c r="I30" s="5">
        <f>ROUND(IFERROR(AVERAGEIF(Week5_Individual!$B:$B,$C30,Week5_Individual!$H:$H),0)+IFERROR(VLOOKUP($C30,Week5_Team!$B:$K,10,FALSE()),0),1)</f>
        <v>0</v>
      </c>
      <c r="J30" s="8">
        <v>0.0</v>
      </c>
      <c r="K30" s="9">
        <f t="shared" si="2"/>
        <v>1110</v>
      </c>
    </row>
    <row r="31" ht="15.75" customHeight="1">
      <c r="A31" s="6">
        <f t="shared" si="1"/>
        <v>47</v>
      </c>
      <c r="B31" s="7" t="s">
        <v>140</v>
      </c>
      <c r="C31" s="7" t="s">
        <v>141</v>
      </c>
      <c r="D31" s="7" t="s">
        <v>81</v>
      </c>
      <c r="E31" s="5">
        <f>ROUND(IFERROR(AVERAGEIF(Week1_Individual!$B:$B,$C31,Week1_Individual!$H:$H),0)+IFERROR(VLOOKUP($C31,Week1_Team!$B:$K,10,FALSE()),0),1)</f>
        <v>0</v>
      </c>
      <c r="F31" s="5">
        <f>ROUND(IFERROR(AVERAGEIF(Week2_Individual!$B:$B,$C31,Week2_Individual!$H:$H),0)+IFERROR(VLOOKUP($C31,Week2_Team!$B:$K,10,FALSE()),0),1)</f>
        <v>0</v>
      </c>
      <c r="G31" s="5">
        <f>ROUND(IFERROR(AVERAGEIF(Week3_Individual!$B:$B,$C31,Week3_Individual!$H:$H),0)+IFERROR(VLOOKUP($C31,Week3_Team!$B:$K,10,FALSE()),0),1)</f>
        <v>0</v>
      </c>
      <c r="H31" s="5">
        <f>ROUND(IFERROR(AVERAGEIF(Week4_Individual!$B:$B,$C31,Week4_Individual!$H:$H),0)+IFERROR(VLOOKUP($C31,Week4_Team!$B:$K,10,FALSE()),0),1)</f>
        <v>0</v>
      </c>
      <c r="I31" s="5">
        <f>ROUND(IFERROR(AVERAGEIF(Week5_Individual!$B:$B,$C31,Week5_Individual!$H:$H),0)+IFERROR(VLOOKUP($C31,Week5_Team!$B:$K,10,FALSE()),0),1)</f>
        <v>0</v>
      </c>
      <c r="J31" s="8">
        <v>0.0</v>
      </c>
      <c r="K31" s="9">
        <f t="shared" si="2"/>
        <v>0</v>
      </c>
    </row>
    <row r="32" ht="15.75" customHeight="1">
      <c r="A32" s="6">
        <f t="shared" si="1"/>
        <v>47</v>
      </c>
      <c r="B32" s="7" t="s">
        <v>142</v>
      </c>
      <c r="C32" s="7" t="s">
        <v>143</v>
      </c>
      <c r="D32" s="7" t="s">
        <v>86</v>
      </c>
      <c r="E32" s="5">
        <f>ROUND(IFERROR(AVERAGEIF(Week1_Individual!$B:$B,$C32,Week1_Individual!$H:$H),0)+IFERROR(VLOOKUP($C32,Week1_Team!$B:$K,10,FALSE()),0),1)</f>
        <v>0</v>
      </c>
      <c r="F32" s="5">
        <f>ROUND(IFERROR(AVERAGEIF(Week2_Individual!$B:$B,$C32,Week2_Individual!$H:$H),0)+IFERROR(VLOOKUP($C32,Week2_Team!$B:$K,10,FALSE()),0),1)</f>
        <v>0</v>
      </c>
      <c r="G32" s="5">
        <f>ROUND(IFERROR(AVERAGEIF(Week3_Individual!$B:$B,$C32,Week3_Individual!$H:$H),0)+IFERROR(VLOOKUP($C32,Week3_Team!$B:$K,10,FALSE()),0),1)</f>
        <v>0</v>
      </c>
      <c r="H32" s="5">
        <f>ROUND(IFERROR(AVERAGEIF(Week4_Individual!$B:$B,$C32,Week4_Individual!$H:$H),0)+IFERROR(VLOOKUP($C32,Week4_Team!$B:$K,10,FALSE()),0),1)</f>
        <v>0</v>
      </c>
      <c r="I32" s="5">
        <f>ROUND(IFERROR(AVERAGEIF(Week5_Individual!$B:$B,$C32,Week5_Individual!$H:$H),0)+IFERROR(VLOOKUP($C32,Week5_Team!$B:$K,10,FALSE()),0),1)</f>
        <v>0</v>
      </c>
      <c r="J32" s="8">
        <v>0.0</v>
      </c>
      <c r="K32" s="9">
        <f t="shared" si="2"/>
        <v>0</v>
      </c>
    </row>
    <row r="33" ht="15.75" customHeight="1">
      <c r="A33" s="6">
        <f t="shared" si="1"/>
        <v>47</v>
      </c>
      <c r="B33" s="7" t="s">
        <v>144</v>
      </c>
      <c r="C33" s="7" t="s">
        <v>145</v>
      </c>
      <c r="D33" s="7" t="s">
        <v>95</v>
      </c>
      <c r="E33" s="5">
        <f>ROUND(IFERROR(AVERAGEIF(Week1_Individual!$B:$B,$C33,Week1_Individual!$H:$H),0)+IFERROR(VLOOKUP($C33,Week1_Team!$B:$K,10,FALSE()),0),1)</f>
        <v>0</v>
      </c>
      <c r="F33" s="5">
        <f>ROUND(IFERROR(AVERAGEIF(Week2_Individual!$B:$B,$C33,Week2_Individual!$H:$H),0)+IFERROR(VLOOKUP($C33,Week2_Team!$B:$K,10,FALSE()),0),1)</f>
        <v>0</v>
      </c>
      <c r="G33" s="5">
        <f>ROUND(IFERROR(AVERAGEIF(Week3_Individual!$B:$B,$C33,Week3_Individual!$H:$H),0)+IFERROR(VLOOKUP($C33,Week3_Team!$B:$K,10,FALSE()),0),1)</f>
        <v>0</v>
      </c>
      <c r="H33" s="5">
        <f>ROUND(IFERROR(AVERAGEIF(Week4_Individual!$B:$B,$C33,Week4_Individual!$H:$H),0)+IFERROR(VLOOKUP($C33,Week4_Team!$B:$K,10,FALSE()),0),1)</f>
        <v>0</v>
      </c>
      <c r="I33" s="5">
        <f>ROUND(IFERROR(AVERAGEIF(Week5_Individual!$B:$B,$C33,Week5_Individual!$H:$H),0)+IFERROR(VLOOKUP($C33,Week5_Team!$B:$K,10,FALSE()),0),1)</f>
        <v>0</v>
      </c>
      <c r="J33" s="8">
        <v>0.0</v>
      </c>
      <c r="K33" s="9">
        <f t="shared" si="2"/>
        <v>0</v>
      </c>
    </row>
    <row r="34" ht="15.75" customHeight="1">
      <c r="A34" s="6">
        <f t="shared" si="1"/>
        <v>47</v>
      </c>
      <c r="B34" s="7" t="s">
        <v>146</v>
      </c>
      <c r="C34" s="7" t="s">
        <v>147</v>
      </c>
      <c r="D34" s="7" t="s">
        <v>81</v>
      </c>
      <c r="E34" s="5">
        <f>ROUND(IFERROR(AVERAGEIF(Week1_Individual!$B:$B,$C34,Week1_Individual!$H:$H),0)+IFERROR(VLOOKUP($C34,Week1_Team!$B:$K,10,FALSE()),0),1)</f>
        <v>0</v>
      </c>
      <c r="F34" s="5">
        <f>ROUND(IFERROR(AVERAGEIF(Week2_Individual!$B:$B,$C34,Week2_Individual!$H:$H),0)+IFERROR(VLOOKUP($C34,Week2_Team!$B:$K,10,FALSE()),0),1)</f>
        <v>0</v>
      </c>
      <c r="G34" s="5">
        <f>ROUND(IFERROR(AVERAGEIF(Week3_Individual!$B:$B,$C34,Week3_Individual!$H:$H),0)+IFERROR(VLOOKUP($C34,Week3_Team!$B:$K,10,FALSE()),0),1)</f>
        <v>0</v>
      </c>
      <c r="H34" s="5">
        <f>ROUND(IFERROR(AVERAGEIF(Week4_Individual!$B:$B,$C34,Week4_Individual!$H:$H),0)+IFERROR(VLOOKUP($C34,Week4_Team!$B:$K,10,FALSE()),0),1)</f>
        <v>0</v>
      </c>
      <c r="I34" s="5">
        <f>ROUND(IFERROR(AVERAGEIF(Week5_Individual!$B:$B,$C34,Week5_Individual!$H:$H),0)+IFERROR(VLOOKUP($C34,Week5_Team!$B:$K,10,FALSE()),0),1)</f>
        <v>0</v>
      </c>
      <c r="J34" s="8">
        <v>0.0</v>
      </c>
      <c r="K34" s="9">
        <f t="shared" si="2"/>
        <v>0</v>
      </c>
    </row>
    <row r="35" ht="15.75" customHeight="1">
      <c r="A35" s="6">
        <f t="shared" si="1"/>
        <v>37</v>
      </c>
      <c r="B35" s="7" t="s">
        <v>148</v>
      </c>
      <c r="C35" s="7" t="s">
        <v>149</v>
      </c>
      <c r="D35" s="7" t="s">
        <v>81</v>
      </c>
      <c r="E35" s="5">
        <f>ROUND(IFERROR(AVERAGEIF(Week1_Individual!$B:$B,$C35,Week1_Individual!$H:$H),0)+IFERROR(VLOOKUP($C35,Week1_Team!$B:$K,10,FALSE()),0),1)</f>
        <v>0</v>
      </c>
      <c r="F35" s="5">
        <f>ROUND(IFERROR(AVERAGEIF(Week2_Individual!$B:$B,$C35,Week2_Individual!$H:$H),0)+IFERROR(VLOOKUP($C35,Week2_Team!$B:$K,10,FALSE()),0),1)</f>
        <v>10</v>
      </c>
      <c r="G35" s="5">
        <f>ROUND(IFERROR(AVERAGEIF(Week3_Individual!$B:$B,$C35,Week3_Individual!$H:$H),0)+IFERROR(VLOOKUP($C35,Week3_Team!$B:$K,10,FALSE()),0),1)</f>
        <v>0</v>
      </c>
      <c r="H35" s="5">
        <f>ROUND(IFERROR(AVERAGEIF(Week4_Individual!$B:$B,$C35,Week4_Individual!$H:$H),0)+IFERROR(VLOOKUP($C35,Week4_Team!$B:$K,10,FALSE()),0),1)</f>
        <v>0</v>
      </c>
      <c r="I35" s="5">
        <f>ROUND(IFERROR(AVERAGEIF(Week5_Individual!$B:$B,$C35,Week5_Individual!$H:$H),0)+IFERROR(VLOOKUP($C35,Week5_Team!$B:$K,10,FALSE()),0),1)</f>
        <v>0</v>
      </c>
      <c r="J35" s="8">
        <v>0.0</v>
      </c>
      <c r="K35" s="9">
        <f t="shared" si="2"/>
        <v>10</v>
      </c>
    </row>
    <row r="36" ht="15.75" customHeight="1">
      <c r="A36" s="6">
        <f t="shared" si="1"/>
        <v>37</v>
      </c>
      <c r="B36" s="7" t="s">
        <v>150</v>
      </c>
      <c r="C36" s="7" t="s">
        <v>151</v>
      </c>
      <c r="D36" s="7" t="s">
        <v>81</v>
      </c>
      <c r="E36" s="5">
        <f>ROUND(IFERROR(AVERAGEIF(Week1_Individual!$B:$B,$C36,Week1_Individual!$H:$H),0)+IFERROR(VLOOKUP($C36,Week1_Team!$B:$K,10,FALSE()),0),1)</f>
        <v>10</v>
      </c>
      <c r="F36" s="5">
        <f>ROUND(IFERROR(AVERAGEIF(Week2_Individual!$B:$B,$C36,Week2_Individual!$H:$H),0)+IFERROR(VLOOKUP($C36,Week2_Team!$B:$K,10,FALSE()),0),1)</f>
        <v>0</v>
      </c>
      <c r="G36" s="5">
        <f>ROUND(IFERROR(AVERAGEIF(Week3_Individual!$B:$B,$C36,Week3_Individual!$H:$H),0)+IFERROR(VLOOKUP($C36,Week3_Team!$B:$K,10,FALSE()),0),1)</f>
        <v>0</v>
      </c>
      <c r="H36" s="5">
        <f>ROUND(IFERROR(AVERAGEIF(Week4_Individual!$B:$B,$C36,Week4_Individual!$H:$H),0)+IFERROR(VLOOKUP($C36,Week4_Team!$B:$K,10,FALSE()),0),1)</f>
        <v>0</v>
      </c>
      <c r="I36" s="5">
        <f>ROUND(IFERROR(AVERAGEIF(Week5_Individual!$B:$B,$C36,Week5_Individual!$H:$H),0)+IFERROR(VLOOKUP($C36,Week5_Team!$B:$K,10,FALSE()),0),1)</f>
        <v>0</v>
      </c>
      <c r="J36" s="8">
        <v>0.0</v>
      </c>
      <c r="K36" s="9">
        <f t="shared" si="2"/>
        <v>10</v>
      </c>
    </row>
    <row r="37" ht="15.75" customHeight="1">
      <c r="A37" s="6">
        <f t="shared" si="1"/>
        <v>47</v>
      </c>
      <c r="B37" s="7" t="s">
        <v>152</v>
      </c>
      <c r="C37" s="7" t="s">
        <v>153</v>
      </c>
      <c r="D37" s="7" t="s">
        <v>95</v>
      </c>
      <c r="E37" s="5">
        <f>ROUND(IFERROR(AVERAGEIF(Week1_Individual!$B:$B,$C37,Week1_Individual!$H:$H),0)+IFERROR(VLOOKUP($C37,Week1_Team!$B:$K,10,FALSE()),0),1)</f>
        <v>0</v>
      </c>
      <c r="F37" s="5">
        <f>ROUND(IFERROR(AVERAGEIF(Week2_Individual!$B:$B,$C37,Week2_Individual!$H:$H),0)+IFERROR(VLOOKUP($C37,Week2_Team!$B:$K,10,FALSE()),0),1)</f>
        <v>0</v>
      </c>
      <c r="G37" s="5">
        <f>ROUND(IFERROR(AVERAGEIF(Week3_Individual!$B:$B,$C37,Week3_Individual!$H:$H),0)+IFERROR(VLOOKUP($C37,Week3_Team!$B:$K,10,FALSE()),0),1)</f>
        <v>0</v>
      </c>
      <c r="H37" s="5">
        <f>ROUND(IFERROR(AVERAGEIF(Week4_Individual!$B:$B,$C37,Week4_Individual!$H:$H),0)+IFERROR(VLOOKUP($C37,Week4_Team!$B:$K,10,FALSE()),0),1)</f>
        <v>0</v>
      </c>
      <c r="I37" s="5">
        <f>ROUND(IFERROR(AVERAGEIF(Week5_Individual!$B:$B,$C37,Week5_Individual!$H:$H),0)+IFERROR(VLOOKUP($C37,Week5_Team!$B:$K,10,FALSE()),0),1)</f>
        <v>0</v>
      </c>
      <c r="J37" s="8">
        <v>0.0</v>
      </c>
      <c r="K37" s="9">
        <f t="shared" si="2"/>
        <v>0</v>
      </c>
    </row>
    <row r="38" ht="15.75" customHeight="1">
      <c r="A38" s="6">
        <f t="shared" si="1"/>
        <v>47</v>
      </c>
      <c r="B38" s="7" t="s">
        <v>154</v>
      </c>
      <c r="C38" s="7" t="s">
        <v>155</v>
      </c>
      <c r="D38" s="7" t="s">
        <v>95</v>
      </c>
      <c r="E38" s="5">
        <f>ROUND(IFERROR(AVERAGEIF(Week1_Individual!$B:$B,$C38,Week1_Individual!$H:$H),0)+IFERROR(VLOOKUP($C38,Week1_Team!$B:$K,10,FALSE()),0),1)</f>
        <v>0</v>
      </c>
      <c r="F38" s="5">
        <f>ROUND(IFERROR(AVERAGEIF(Week2_Individual!$B:$B,$C38,Week2_Individual!$H:$H),0)+IFERROR(VLOOKUP($C38,Week2_Team!$B:$K,10,FALSE()),0),1)</f>
        <v>0</v>
      </c>
      <c r="G38" s="5">
        <f>ROUND(IFERROR(AVERAGEIF(Week3_Individual!$B:$B,$C38,Week3_Individual!$H:$H),0)+IFERROR(VLOOKUP($C38,Week3_Team!$B:$K,10,FALSE()),0),1)</f>
        <v>0</v>
      </c>
      <c r="H38" s="5">
        <f>ROUND(IFERROR(AVERAGEIF(Week4_Individual!$B:$B,$C38,Week4_Individual!$H:$H),0)+IFERROR(VLOOKUP($C38,Week4_Team!$B:$K,10,FALSE()),0),1)</f>
        <v>0</v>
      </c>
      <c r="I38" s="5">
        <f>ROUND(IFERROR(AVERAGEIF(Week5_Individual!$B:$B,$C38,Week5_Individual!$H:$H),0)+IFERROR(VLOOKUP($C38,Week5_Team!$B:$K,10,FALSE()),0),1)</f>
        <v>0</v>
      </c>
      <c r="J38" s="8">
        <v>0.0</v>
      </c>
      <c r="K38" s="9">
        <f t="shared" si="2"/>
        <v>0</v>
      </c>
    </row>
    <row r="39" ht="15.75" customHeight="1">
      <c r="A39" s="6">
        <f t="shared" si="1"/>
        <v>20</v>
      </c>
      <c r="B39" s="7" t="s">
        <v>156</v>
      </c>
      <c r="C39" s="7" t="s">
        <v>157</v>
      </c>
      <c r="D39" s="7" t="s">
        <v>95</v>
      </c>
      <c r="E39" s="5">
        <f>ROUND(IFERROR(AVERAGEIF(Week1_Individual!$B:$B,$C39,Week1_Individual!$H:$H),0)+IFERROR(VLOOKUP($C39,Week1_Team!$B:$K,10,FALSE()),0),1)</f>
        <v>75</v>
      </c>
      <c r="F39" s="5">
        <f>ROUND(IFERROR(AVERAGEIF(Week2_Individual!$B:$B,$C39,Week2_Individual!$H:$H),0)+IFERROR(VLOOKUP($C39,Week2_Team!$B:$K,10,FALSE()),0),1)</f>
        <v>97.5</v>
      </c>
      <c r="G39" s="5">
        <f>ROUND(IFERROR(AVERAGEIF(Week3_Individual!$B:$B,$C39,Week3_Individual!$H:$H),0)+IFERROR(VLOOKUP($C39,Week3_Team!$B:$K,10,FALSE()),0),1)</f>
        <v>0</v>
      </c>
      <c r="H39" s="5">
        <f>ROUND(IFERROR(AVERAGEIF(Week4_Individual!$B:$B,$C39,Week4_Individual!$H:$H),0)+IFERROR(VLOOKUP($C39,Week4_Team!$B:$K,10,FALSE()),0),1)</f>
        <v>0</v>
      </c>
      <c r="I39" s="5">
        <f>ROUND(IFERROR(AVERAGEIF(Week5_Individual!$B:$B,$C39,Week5_Individual!$H:$H),0)+IFERROR(VLOOKUP($C39,Week5_Team!$B:$K,10,FALSE()),0),1)</f>
        <v>0</v>
      </c>
      <c r="J39" s="8">
        <v>0.0</v>
      </c>
      <c r="K39" s="9">
        <f t="shared" si="2"/>
        <v>172.5</v>
      </c>
    </row>
    <row r="40" ht="15.75" customHeight="1">
      <c r="A40" s="6">
        <f t="shared" si="1"/>
        <v>37</v>
      </c>
      <c r="B40" s="7" t="s">
        <v>158</v>
      </c>
      <c r="C40" s="7" t="s">
        <v>159</v>
      </c>
      <c r="D40" s="7" t="s">
        <v>81</v>
      </c>
      <c r="E40" s="5">
        <f>ROUND(IFERROR(AVERAGEIF(Week1_Individual!$B:$B,$C40,Week1_Individual!$H:$H),0)+IFERROR(VLOOKUP($C40,Week1_Team!$B:$K,10,FALSE()),0),1)</f>
        <v>10</v>
      </c>
      <c r="F40" s="5">
        <f>ROUND(IFERROR(AVERAGEIF(Week2_Individual!$B:$B,$C40,Week2_Individual!$H:$H),0)+IFERROR(VLOOKUP($C40,Week2_Team!$B:$K,10,FALSE()),0),1)</f>
        <v>0</v>
      </c>
      <c r="G40" s="5">
        <f>ROUND(IFERROR(AVERAGEIF(Week3_Individual!$B:$B,$C40,Week3_Individual!$H:$H),0)+IFERROR(VLOOKUP($C40,Week3_Team!$B:$K,10,FALSE()),0),1)</f>
        <v>0</v>
      </c>
      <c r="H40" s="5">
        <f>ROUND(IFERROR(AVERAGEIF(Week4_Individual!$B:$B,$C40,Week4_Individual!$H:$H),0)+IFERROR(VLOOKUP($C40,Week4_Team!$B:$K,10,FALSE()),0),1)</f>
        <v>0</v>
      </c>
      <c r="I40" s="5">
        <f>ROUND(IFERROR(AVERAGEIF(Week5_Individual!$B:$B,$C40,Week5_Individual!$H:$H),0)+IFERROR(VLOOKUP($C40,Week5_Team!$B:$K,10,FALSE()),0),1)</f>
        <v>0</v>
      </c>
      <c r="J40" s="8">
        <v>0.0</v>
      </c>
      <c r="K40" s="9">
        <f t="shared" si="2"/>
        <v>10</v>
      </c>
    </row>
    <row r="41" ht="15.75" customHeight="1">
      <c r="A41" s="6">
        <f t="shared" si="1"/>
        <v>47</v>
      </c>
      <c r="B41" s="7" t="s">
        <v>160</v>
      </c>
      <c r="C41" s="7" t="s">
        <v>161</v>
      </c>
      <c r="D41" s="7" t="s">
        <v>95</v>
      </c>
      <c r="E41" s="5">
        <f>ROUND(IFERROR(AVERAGEIF(Week1_Individual!$B:$B,$C41,Week1_Individual!$H:$H),0)+IFERROR(VLOOKUP($C41,Week1_Team!$B:$K,10,FALSE()),0),1)</f>
        <v>0</v>
      </c>
      <c r="F41" s="5">
        <f>ROUND(IFERROR(AVERAGEIF(Week2_Individual!$B:$B,$C41,Week2_Individual!$H:$H),0)+IFERROR(VLOOKUP($C41,Week2_Team!$B:$K,10,FALSE()),0),1)</f>
        <v>0</v>
      </c>
      <c r="G41" s="5">
        <f>ROUND(IFERROR(AVERAGEIF(Week3_Individual!$B:$B,$C41,Week3_Individual!$H:$H),0)+IFERROR(VLOOKUP($C41,Week3_Team!$B:$K,10,FALSE()),0),1)</f>
        <v>0</v>
      </c>
      <c r="H41" s="5">
        <f>ROUND(IFERROR(AVERAGEIF(Week4_Individual!$B:$B,$C41,Week4_Individual!$H:$H),0)+IFERROR(VLOOKUP($C41,Week4_Team!$B:$K,10,FALSE()),0),1)</f>
        <v>0</v>
      </c>
      <c r="I41" s="5">
        <f>ROUND(IFERROR(AVERAGEIF(Week5_Individual!$B:$B,$C41,Week5_Individual!$H:$H),0)+IFERROR(VLOOKUP($C41,Week5_Team!$B:$K,10,FALSE()),0),1)</f>
        <v>0</v>
      </c>
      <c r="J41" s="8">
        <v>0.0</v>
      </c>
      <c r="K41" s="9">
        <f t="shared" si="2"/>
        <v>0</v>
      </c>
    </row>
    <row r="42" ht="15.75" customHeight="1">
      <c r="A42" s="6">
        <f t="shared" si="1"/>
        <v>47</v>
      </c>
      <c r="B42" s="7" t="s">
        <v>162</v>
      </c>
      <c r="C42" s="16" t="s">
        <v>163</v>
      </c>
      <c r="D42" s="7" t="s">
        <v>86</v>
      </c>
      <c r="E42" s="5">
        <f>ROUND(IFERROR(AVERAGEIF(Week1_Individual!$B:$B,$C42,Week1_Individual!$H:$H),0)+IFERROR(VLOOKUP($C42,Week1_Team!$B:$K,10,FALSE()),0),1)</f>
        <v>0</v>
      </c>
      <c r="F42" s="5">
        <f>ROUND(IFERROR(AVERAGEIF(Week2_Individual!$B:$B,$C42,Week2_Individual!$H:$H),0)+IFERROR(VLOOKUP($C42,Week2_Team!$B:$K,10,FALSE()),0),1)</f>
        <v>0</v>
      </c>
      <c r="G42" s="5">
        <f>ROUND(IFERROR(AVERAGEIF(Week3_Individual!$B:$B,$C42,Week3_Individual!$H:$H),0)+IFERROR(VLOOKUP($C42,Week3_Team!$B:$K,10,FALSE()),0),1)</f>
        <v>0</v>
      </c>
      <c r="H42" s="5">
        <f>ROUND(IFERROR(AVERAGEIF(Week4_Individual!$B:$B,$C42,Week4_Individual!$H:$H),0)+IFERROR(VLOOKUP($C42,Week4_Team!$B:$K,10,FALSE()),0),1)</f>
        <v>0</v>
      </c>
      <c r="I42" s="5">
        <f>ROUND(IFERROR(AVERAGEIF(Week5_Individual!$B:$B,$C42,Week5_Individual!$H:$H),0)+IFERROR(VLOOKUP($C42,Week5_Team!$B:$K,10,FALSE()),0),1)</f>
        <v>0</v>
      </c>
      <c r="J42" s="8">
        <v>0.0</v>
      </c>
      <c r="K42" s="9">
        <f t="shared" si="2"/>
        <v>0</v>
      </c>
    </row>
    <row r="43" ht="15.75" customHeight="1">
      <c r="A43" s="6">
        <f t="shared" si="1"/>
        <v>14</v>
      </c>
      <c r="B43" s="7" t="s">
        <v>164</v>
      </c>
      <c r="C43" s="7" t="s">
        <v>165</v>
      </c>
      <c r="D43" s="7" t="s">
        <v>166</v>
      </c>
      <c r="E43" s="5">
        <f>ROUND(IFERROR(AVERAGEIF(Week1_Individual!$B:$B,$C43,Week1_Individual!$H:$H),0)+IFERROR(VLOOKUP($C43,Week1_Team!$B:$K,10,FALSE()),0),1)</f>
        <v>70</v>
      </c>
      <c r="F43" s="5">
        <f>ROUND(IFERROR(AVERAGEIF(Week2_Individual!$B:$B,$C43,Week2_Individual!$H:$H),0)+IFERROR(VLOOKUP($C43,Week2_Team!$B:$K,10,FALSE()),0),1)</f>
        <v>90</v>
      </c>
      <c r="G43" s="5">
        <f>ROUND(IFERROR(AVERAGEIF(Week3_Individual!$B:$B,$C43,Week3_Individual!$H:$H),0)+IFERROR(VLOOKUP($C43,Week3_Team!$B:$K,10,FALSE()),0),1)</f>
        <v>93.3</v>
      </c>
      <c r="H43" s="5">
        <f>ROUND(IFERROR(AVERAGEIF(Week4_Individual!$B:$B,$C43,Week4_Individual!$H:$H),0)+IFERROR(VLOOKUP($C43,Week4_Team!$B:$K,10,FALSE()),0),1)</f>
        <v>71.7</v>
      </c>
      <c r="I43" s="5">
        <f>ROUND(IFERROR(AVERAGEIF(Week5_Individual!$B:$B,$C43,Week5_Individual!$H:$H),0)+IFERROR(VLOOKUP($C43,Week5_Team!$B:$K,10,FALSE()),0),1)</f>
        <v>0</v>
      </c>
      <c r="J43" s="8">
        <v>0.0</v>
      </c>
      <c r="K43" s="9">
        <f t="shared" si="2"/>
        <v>325</v>
      </c>
    </row>
    <row r="44" ht="15.75" customHeight="1">
      <c r="A44" s="6">
        <f t="shared" si="1"/>
        <v>34</v>
      </c>
      <c r="B44" s="7" t="s">
        <v>167</v>
      </c>
      <c r="C44" s="7" t="s">
        <v>168</v>
      </c>
      <c r="D44" s="7" t="s">
        <v>81</v>
      </c>
      <c r="E44" s="5">
        <f>ROUND(IFERROR(AVERAGEIF(Week1_Individual!$B:$B,$C44,Week1_Individual!$H:$H),0)+IFERROR(VLOOKUP($C44,Week1_Team!$B:$K,10,FALSE()),0),1)</f>
        <v>0</v>
      </c>
      <c r="F44" s="5">
        <f>ROUND(IFERROR(AVERAGEIF(Week2_Individual!$B:$B,$C44,Week2_Individual!$H:$H),0)+IFERROR(VLOOKUP($C44,Week2_Team!$B:$K,10,FALSE()),0),1)</f>
        <v>20</v>
      </c>
      <c r="G44" s="5">
        <f>ROUND(IFERROR(AVERAGEIF(Week3_Individual!$B:$B,$C44,Week3_Individual!$H:$H),0)+IFERROR(VLOOKUP($C44,Week3_Team!$B:$K,10,FALSE()),0),1)</f>
        <v>0</v>
      </c>
      <c r="H44" s="5">
        <f>ROUND(IFERROR(AVERAGEIF(Week4_Individual!$B:$B,$C44,Week4_Individual!$H:$H),0)+IFERROR(VLOOKUP($C44,Week4_Team!$B:$K,10,FALSE()),0),1)</f>
        <v>0</v>
      </c>
      <c r="I44" s="5">
        <f>ROUND(IFERROR(AVERAGEIF(Week5_Individual!$B:$B,$C44,Week5_Individual!$H:$H),0)+IFERROR(VLOOKUP($C44,Week5_Team!$B:$K,10,FALSE()),0),1)</f>
        <v>0</v>
      </c>
      <c r="J44" s="8">
        <v>0.0</v>
      </c>
      <c r="K44" s="9">
        <f t="shared" si="2"/>
        <v>20</v>
      </c>
    </row>
    <row r="45" ht="15.75" customHeight="1">
      <c r="A45" s="6">
        <f t="shared" si="1"/>
        <v>47</v>
      </c>
      <c r="B45" s="7" t="s">
        <v>169</v>
      </c>
      <c r="C45" s="7" t="s">
        <v>170</v>
      </c>
      <c r="D45" s="7" t="s">
        <v>95</v>
      </c>
      <c r="E45" s="5">
        <f>ROUND(IFERROR(AVERAGEIF(Week1_Individual!$B:$B,$C45,Week1_Individual!$H:$H),0)+IFERROR(VLOOKUP($C45,Week1_Team!$B:$K,10,FALSE()),0),1)</f>
        <v>0</v>
      </c>
      <c r="F45" s="5">
        <f>ROUND(IFERROR(AVERAGEIF(Week2_Individual!$B:$B,$C45,Week2_Individual!$H:$H),0)+IFERROR(VLOOKUP($C45,Week2_Team!$B:$K,10,FALSE()),0),1)</f>
        <v>0</v>
      </c>
      <c r="G45" s="5">
        <f>ROUND(IFERROR(AVERAGEIF(Week3_Individual!$B:$B,$C45,Week3_Individual!$H:$H),0)+IFERROR(VLOOKUP($C45,Week3_Team!$B:$K,10,FALSE()),0),1)</f>
        <v>0</v>
      </c>
      <c r="H45" s="5">
        <f>ROUND(IFERROR(AVERAGEIF(Week4_Individual!$B:$B,$C45,Week4_Individual!$H:$H),0)+IFERROR(VLOOKUP($C45,Week4_Team!$B:$K,10,FALSE()),0),1)</f>
        <v>0</v>
      </c>
      <c r="I45" s="5">
        <f>ROUND(IFERROR(AVERAGEIF(Week5_Individual!$B:$B,$C45,Week5_Individual!$H:$H),0)+IFERROR(VLOOKUP($C45,Week5_Team!$B:$K,10,FALSE()),0),1)</f>
        <v>0</v>
      </c>
      <c r="J45" s="8">
        <v>0.0</v>
      </c>
      <c r="K45" s="9">
        <f t="shared" si="2"/>
        <v>0</v>
      </c>
    </row>
    <row r="46" ht="15.75" customHeight="1">
      <c r="A46" s="6">
        <f t="shared" si="1"/>
        <v>47</v>
      </c>
      <c r="B46" s="7" t="s">
        <v>171</v>
      </c>
      <c r="C46" s="16" t="s">
        <v>172</v>
      </c>
      <c r="D46" s="7" t="s">
        <v>86</v>
      </c>
      <c r="E46" s="5">
        <f>ROUND(IFERROR(AVERAGEIF(Week1_Individual!$B:$B,$C46,Week1_Individual!$H:$H),0)+IFERROR(VLOOKUP($C46,Week1_Team!$B:$K,10,FALSE()),0),1)</f>
        <v>0</v>
      </c>
      <c r="F46" s="5">
        <f>ROUND(IFERROR(AVERAGEIF(Week2_Individual!$B:$B,$C46,Week2_Individual!$H:$H),0)+IFERROR(VLOOKUP($C46,Week2_Team!$B:$K,10,FALSE()),0),1)</f>
        <v>0</v>
      </c>
      <c r="G46" s="5">
        <f>ROUND(IFERROR(AVERAGEIF(Week3_Individual!$B:$B,$C46,Week3_Individual!$H:$H),0)+IFERROR(VLOOKUP($C46,Week3_Team!$B:$K,10,FALSE()),0),1)</f>
        <v>0</v>
      </c>
      <c r="H46" s="5">
        <f>ROUND(IFERROR(AVERAGEIF(Week4_Individual!$B:$B,$C46,Week4_Individual!$H:$H),0)+IFERROR(VLOOKUP($C46,Week4_Team!$B:$K,10,FALSE()),0),1)</f>
        <v>0</v>
      </c>
      <c r="I46" s="5">
        <f>ROUND(IFERROR(AVERAGEIF(Week5_Individual!$B:$B,$C46,Week5_Individual!$H:$H),0)+IFERROR(VLOOKUP($C46,Week5_Team!$B:$K,10,FALSE()),0),1)</f>
        <v>0</v>
      </c>
      <c r="J46" s="8">
        <v>0.0</v>
      </c>
      <c r="K46" s="9">
        <f t="shared" si="2"/>
        <v>0</v>
      </c>
    </row>
    <row r="47" ht="15.75" customHeight="1">
      <c r="A47" s="6">
        <f t="shared" si="1"/>
        <v>6</v>
      </c>
      <c r="B47" s="7" t="s">
        <v>173</v>
      </c>
      <c r="C47" s="7" t="s">
        <v>174</v>
      </c>
      <c r="D47" s="17" t="s">
        <v>95</v>
      </c>
      <c r="E47" s="5">
        <f>ROUND(IFERROR(AVERAGEIF(Week1_Individual!$B:$B,$C47,Week1_Individual!$H:$H),0)+IFERROR(VLOOKUP($C47,Week1_Team!$B:$K,10,FALSE()),0),1)</f>
        <v>75</v>
      </c>
      <c r="F47" s="5">
        <f>ROUND(IFERROR(AVERAGEIF(Week2_Individual!$B:$B,$C47,Week2_Individual!$H:$H),0)+IFERROR(VLOOKUP($C47,Week2_Team!$B:$K,10,FALSE()),0),1)</f>
        <v>130</v>
      </c>
      <c r="G47" s="5">
        <f>ROUND(IFERROR(AVERAGEIF(Week3_Individual!$B:$B,$C47,Week3_Individual!$H:$H),0)+IFERROR(VLOOKUP($C47,Week3_Team!$B:$K,10,FALSE()),0),1)</f>
        <v>150</v>
      </c>
      <c r="H47" s="5">
        <f>ROUND(IFERROR(AVERAGEIF(Week4_Individual!$B:$B,$C47,Week4_Individual!$H:$H),0)+IFERROR(VLOOKUP($C47,Week4_Team!$B:$K,10,FALSE()),0),1)</f>
        <v>315</v>
      </c>
      <c r="I47" s="5">
        <f>ROUND(IFERROR(AVERAGEIF(Week5_Individual!$B:$B,$C47,Week5_Individual!$H:$H),0)+IFERROR(VLOOKUP($C47,Week5_Team!$B:$K,10,FALSE()),0),1)</f>
        <v>0</v>
      </c>
      <c r="J47" s="8">
        <v>0.0</v>
      </c>
      <c r="K47" s="9">
        <f t="shared" si="2"/>
        <v>670</v>
      </c>
    </row>
    <row r="48" ht="15.75" customHeight="1">
      <c r="A48" s="6">
        <f t="shared" si="1"/>
        <v>47</v>
      </c>
      <c r="B48" s="7" t="s">
        <v>175</v>
      </c>
      <c r="C48" s="7" t="s">
        <v>176</v>
      </c>
      <c r="D48" s="7" t="s">
        <v>81</v>
      </c>
      <c r="E48" s="5">
        <f>ROUND(IFERROR(AVERAGEIF(Week1_Individual!$B:$B,$C48,Week1_Individual!$H:$H),0)+IFERROR(VLOOKUP($C48,Week1_Team!$B:$K,10,FALSE()),0),1)</f>
        <v>0</v>
      </c>
      <c r="F48" s="5">
        <f>ROUND(IFERROR(AVERAGEIF(Week2_Individual!$B:$B,$C48,Week2_Individual!$H:$H),0)+IFERROR(VLOOKUP($C48,Week2_Team!$B:$K,10,FALSE()),0),1)</f>
        <v>0</v>
      </c>
      <c r="G48" s="5">
        <f>ROUND(IFERROR(AVERAGEIF(Week3_Individual!$B:$B,$C48,Week3_Individual!$H:$H),0)+IFERROR(VLOOKUP($C48,Week3_Team!$B:$K,10,FALSE()),0),1)</f>
        <v>0</v>
      </c>
      <c r="H48" s="5">
        <f>ROUND(IFERROR(AVERAGEIF(Week4_Individual!$B:$B,$C48,Week4_Individual!$H:$H),0)+IFERROR(VLOOKUP($C48,Week4_Team!$B:$K,10,FALSE()),0),1)</f>
        <v>0</v>
      </c>
      <c r="I48" s="5">
        <f>ROUND(IFERROR(AVERAGEIF(Week5_Individual!$B:$B,$C48,Week5_Individual!$H:$H),0)+IFERROR(VLOOKUP($C48,Week5_Team!$B:$K,10,FALSE()),0),1)</f>
        <v>0</v>
      </c>
      <c r="J48" s="8">
        <v>0.0</v>
      </c>
      <c r="K48" s="9">
        <f t="shared" si="2"/>
        <v>0</v>
      </c>
    </row>
    <row r="49" ht="15.75" customHeight="1">
      <c r="A49" s="6">
        <f t="shared" si="1"/>
        <v>47</v>
      </c>
      <c r="B49" s="7" t="s">
        <v>177</v>
      </c>
      <c r="C49" s="7" t="s">
        <v>178</v>
      </c>
      <c r="D49" s="7" t="s">
        <v>81</v>
      </c>
      <c r="E49" s="5">
        <f>ROUND(IFERROR(AVERAGEIF(Week1_Individual!$B:$B,$C49,Week1_Individual!$H:$H),0)+IFERROR(VLOOKUP($C49,Week1_Team!$B:$K,10,FALSE()),0),1)</f>
        <v>0</v>
      </c>
      <c r="F49" s="5">
        <f>ROUND(IFERROR(AVERAGEIF(Week2_Individual!$B:$B,$C49,Week2_Individual!$H:$H),0)+IFERROR(VLOOKUP($C49,Week2_Team!$B:$K,10,FALSE()),0),1)</f>
        <v>0</v>
      </c>
      <c r="G49" s="5">
        <f>ROUND(IFERROR(AVERAGEIF(Week3_Individual!$B:$B,$C49,Week3_Individual!$H:$H),0)+IFERROR(VLOOKUP($C49,Week3_Team!$B:$K,10,FALSE()),0),1)</f>
        <v>0</v>
      </c>
      <c r="H49" s="5">
        <f>ROUND(IFERROR(AVERAGEIF(Week4_Individual!$B:$B,$C49,Week4_Individual!$H:$H),0)+IFERROR(VLOOKUP($C49,Week4_Team!$B:$K,10,FALSE()),0),1)</f>
        <v>0</v>
      </c>
      <c r="I49" s="5">
        <f>ROUND(IFERROR(AVERAGEIF(Week5_Individual!$B:$B,$C49,Week5_Individual!$H:$H),0)+IFERROR(VLOOKUP($C49,Week5_Team!$B:$K,10,FALSE()),0),1)</f>
        <v>0</v>
      </c>
      <c r="J49" s="8">
        <v>0.0</v>
      </c>
      <c r="K49" s="9">
        <f t="shared" si="2"/>
        <v>0</v>
      </c>
    </row>
    <row r="50" ht="15.75" customHeight="1">
      <c r="A50" s="6">
        <f t="shared" si="1"/>
        <v>47</v>
      </c>
      <c r="B50" s="7" t="s">
        <v>179</v>
      </c>
      <c r="C50" s="7" t="s">
        <v>180</v>
      </c>
      <c r="D50" s="7" t="s">
        <v>95</v>
      </c>
      <c r="E50" s="5">
        <f>ROUND(IFERROR(AVERAGEIF(Week1_Individual!$B:$B,$C50,Week1_Individual!$H:$H),0)+IFERROR(VLOOKUP($C50,Week1_Team!$B:$K,10,FALSE()),0),1)</f>
        <v>0</v>
      </c>
      <c r="F50" s="5">
        <f>ROUND(IFERROR(AVERAGEIF(Week2_Individual!$B:$B,$C50,Week2_Individual!$H:$H),0)+IFERROR(VLOOKUP($C50,Week2_Team!$B:$K,10,FALSE()),0),1)</f>
        <v>0</v>
      </c>
      <c r="G50" s="5">
        <f>ROUND(IFERROR(AVERAGEIF(Week3_Individual!$B:$B,$C50,Week3_Individual!$H:$H),0)+IFERROR(VLOOKUP($C50,Week3_Team!$B:$K,10,FALSE()),0),1)</f>
        <v>0</v>
      </c>
      <c r="H50" s="5">
        <f>ROUND(IFERROR(AVERAGEIF(Week4_Individual!$B:$B,$C50,Week4_Individual!$H:$H),0)+IFERROR(VLOOKUP($C50,Week4_Team!$B:$K,10,FALSE()),0),1)</f>
        <v>0</v>
      </c>
      <c r="I50" s="5">
        <f>ROUND(IFERROR(AVERAGEIF(Week5_Individual!$B:$B,$C50,Week5_Individual!$H:$H),0)+IFERROR(VLOOKUP($C50,Week5_Team!$B:$K,10,FALSE()),0),1)</f>
        <v>0</v>
      </c>
      <c r="J50" s="8">
        <v>0.0</v>
      </c>
      <c r="K50" s="9">
        <f t="shared" si="2"/>
        <v>0</v>
      </c>
    </row>
    <row r="51" ht="15.75" customHeight="1">
      <c r="A51" s="6">
        <f t="shared" si="1"/>
        <v>47</v>
      </c>
      <c r="B51" s="7" t="s">
        <v>181</v>
      </c>
      <c r="C51" s="7" t="s">
        <v>182</v>
      </c>
      <c r="D51" s="7" t="s">
        <v>95</v>
      </c>
      <c r="E51" s="5">
        <f>ROUND(IFERROR(AVERAGEIF(Week1_Individual!$B:$B,$C51,Week1_Individual!$H:$H),0)+IFERROR(VLOOKUP($C51,Week1_Team!$B:$K,10,FALSE()),0),1)</f>
        <v>0</v>
      </c>
      <c r="F51" s="5">
        <f>ROUND(IFERROR(AVERAGEIF(Week2_Individual!$B:$B,$C51,Week2_Individual!$H:$H),0)+IFERROR(VLOOKUP($C51,Week2_Team!$B:$K,10,FALSE()),0),1)</f>
        <v>0</v>
      </c>
      <c r="G51" s="5">
        <f>ROUND(IFERROR(AVERAGEIF(Week3_Individual!$B:$B,$C51,Week3_Individual!$H:$H),0)+IFERROR(VLOOKUP($C51,Week3_Team!$B:$K,10,FALSE()),0),1)</f>
        <v>0</v>
      </c>
      <c r="H51" s="5">
        <f>ROUND(IFERROR(AVERAGEIF(Week4_Individual!$B:$B,$C51,Week4_Individual!$H:$H),0)+IFERROR(VLOOKUP($C51,Week4_Team!$B:$K,10,FALSE()),0),1)</f>
        <v>0</v>
      </c>
      <c r="I51" s="5">
        <f>ROUND(IFERROR(AVERAGEIF(Week5_Individual!$B:$B,$C51,Week5_Individual!$H:$H),0)+IFERROR(VLOOKUP($C51,Week5_Team!$B:$K,10,FALSE()),0),1)</f>
        <v>0</v>
      </c>
      <c r="J51" s="8">
        <v>0.0</v>
      </c>
      <c r="K51" s="9">
        <f t="shared" si="2"/>
        <v>0</v>
      </c>
    </row>
    <row r="52" ht="15.75" customHeight="1">
      <c r="A52" s="6">
        <f t="shared" si="1"/>
        <v>47</v>
      </c>
      <c r="B52" s="7" t="s">
        <v>183</v>
      </c>
      <c r="C52" s="7" t="s">
        <v>184</v>
      </c>
      <c r="D52" s="7" t="s">
        <v>166</v>
      </c>
      <c r="E52" s="5">
        <f>ROUND(IFERROR(AVERAGEIF(Week1_Individual!$B:$B,$C52,Week1_Individual!$H:$H),0)+IFERROR(VLOOKUP($C52,Week1_Team!$B:$K,10,FALSE()),0),1)</f>
        <v>0</v>
      </c>
      <c r="F52" s="5">
        <f>ROUND(IFERROR(AVERAGEIF(Week2_Individual!$B:$B,$C52,Week2_Individual!$H:$H),0)+IFERROR(VLOOKUP($C52,Week2_Team!$B:$K,10,FALSE()),0),1)</f>
        <v>0</v>
      </c>
      <c r="G52" s="5">
        <f>ROUND(IFERROR(AVERAGEIF(Week3_Individual!$B:$B,$C52,Week3_Individual!$H:$H),0)+IFERROR(VLOOKUP($C52,Week3_Team!$B:$K,10,FALSE()),0),1)</f>
        <v>0</v>
      </c>
      <c r="H52" s="5">
        <f>ROUND(IFERROR(AVERAGEIF(Week4_Individual!$B:$B,$C52,Week4_Individual!$H:$H),0)+IFERROR(VLOOKUP($C52,Week4_Team!$B:$K,10,FALSE()),0),1)</f>
        <v>0</v>
      </c>
      <c r="I52" s="5">
        <f>ROUND(IFERROR(AVERAGEIF(Week5_Individual!$B:$B,$C52,Week5_Individual!$H:$H),0)+IFERROR(VLOOKUP($C52,Week5_Team!$B:$K,10,FALSE()),0),1)</f>
        <v>0</v>
      </c>
      <c r="J52" s="8">
        <v>0.0</v>
      </c>
      <c r="K52" s="9">
        <f t="shared" si="2"/>
        <v>0</v>
      </c>
    </row>
    <row r="53" ht="15.75" customHeight="1">
      <c r="A53" s="6">
        <f t="shared" si="1"/>
        <v>10</v>
      </c>
      <c r="B53" s="7" t="s">
        <v>185</v>
      </c>
      <c r="C53" s="7" t="s">
        <v>186</v>
      </c>
      <c r="D53" s="7" t="s">
        <v>81</v>
      </c>
      <c r="E53" s="5">
        <f>ROUND(IFERROR(AVERAGEIF(Week1_Individual!$B:$B,$C53,Week1_Individual!$H:$H),0)+IFERROR(VLOOKUP($C53,Week1_Team!$B:$K,10,FALSE()),0),1)</f>
        <v>95</v>
      </c>
      <c r="F53" s="5">
        <f>ROUND(IFERROR(AVERAGEIF(Week2_Individual!$B:$B,$C53,Week2_Individual!$H:$H),0)+IFERROR(VLOOKUP($C53,Week2_Team!$B:$K,10,FALSE()),0),1)</f>
        <v>130</v>
      </c>
      <c r="G53" s="5">
        <f>ROUND(IFERROR(AVERAGEIF(Week3_Individual!$B:$B,$C53,Week3_Individual!$H:$H),0)+IFERROR(VLOOKUP($C53,Week3_Team!$B:$K,10,FALSE()),0),1)</f>
        <v>180</v>
      </c>
      <c r="H53" s="5">
        <f>ROUND(IFERROR(AVERAGEIF(Week4_Individual!$B:$B,$C53,Week4_Individual!$H:$H),0)+IFERROR(VLOOKUP($C53,Week4_Team!$B:$K,10,FALSE()),0),1)</f>
        <v>145</v>
      </c>
      <c r="I53" s="5">
        <f>ROUND(IFERROR(AVERAGEIF(Week5_Individual!$B:$B,$C53,Week5_Individual!$H:$H),0)+IFERROR(VLOOKUP($C53,Week5_Team!$B:$K,10,FALSE()),0),1)</f>
        <v>0</v>
      </c>
      <c r="J53" s="8">
        <v>0.0</v>
      </c>
      <c r="K53" s="9">
        <f t="shared" si="2"/>
        <v>550</v>
      </c>
    </row>
    <row r="54" ht="15.75" customHeight="1">
      <c r="A54" s="6">
        <f t="shared" si="1"/>
        <v>12</v>
      </c>
      <c r="B54" s="7" t="s">
        <v>187</v>
      </c>
      <c r="C54" s="7" t="s">
        <v>188</v>
      </c>
      <c r="D54" s="7" t="s">
        <v>166</v>
      </c>
      <c r="E54" s="5">
        <f>ROUND(IFERROR(AVERAGEIF(Week1_Individual!$B:$B,$C54,Week1_Individual!$H:$H),0)+IFERROR(VLOOKUP($C54,Week1_Team!$B:$K,10,FALSE()),0),1)</f>
        <v>83.3</v>
      </c>
      <c r="F54" s="5">
        <f>ROUND(IFERROR(AVERAGEIF(Week2_Individual!$B:$B,$C54,Week2_Individual!$H:$H),0)+IFERROR(VLOOKUP($C54,Week2_Team!$B:$K,10,FALSE()),0),1)</f>
        <v>88.3</v>
      </c>
      <c r="G54" s="5">
        <f>ROUND(IFERROR(AVERAGEIF(Week3_Individual!$B:$B,$C54,Week3_Individual!$H:$H),0)+IFERROR(VLOOKUP($C54,Week3_Team!$B:$K,10,FALSE()),0),1)</f>
        <v>0</v>
      </c>
      <c r="H54" s="5">
        <f>ROUND(IFERROR(AVERAGEIF(Week4_Individual!$B:$B,$C54,Week4_Individual!$H:$H),0)+IFERROR(VLOOKUP($C54,Week4_Team!$B:$K,10,FALSE()),0),1)</f>
        <v>225</v>
      </c>
      <c r="I54" s="5">
        <f>ROUND(IFERROR(AVERAGEIF(Week5_Individual!$B:$B,$C54,Week5_Individual!$H:$H),0)+IFERROR(VLOOKUP($C54,Week5_Team!$B:$K,10,FALSE()),0),1)</f>
        <v>0</v>
      </c>
      <c r="J54" s="8">
        <v>0.0</v>
      </c>
      <c r="K54" s="9">
        <f t="shared" si="2"/>
        <v>396.6</v>
      </c>
    </row>
    <row r="55" ht="15.75" customHeight="1">
      <c r="A55" s="6">
        <f t="shared" si="1"/>
        <v>47</v>
      </c>
      <c r="B55" s="7" t="s">
        <v>189</v>
      </c>
      <c r="C55" s="16" t="s">
        <v>190</v>
      </c>
      <c r="D55" s="7" t="s">
        <v>86</v>
      </c>
      <c r="E55" s="5">
        <f>ROUND(IFERROR(AVERAGEIF(Week1_Individual!$B:$B,$C55,Week1_Individual!$H:$H),0)+IFERROR(VLOOKUP($C55,Week1_Team!$B:$K,10,FALSE()),0),1)</f>
        <v>0</v>
      </c>
      <c r="F55" s="5">
        <f>ROUND(IFERROR(AVERAGEIF(Week2_Individual!$B:$B,$C55,Week2_Individual!$H:$H),0)+IFERROR(VLOOKUP($C55,Week2_Team!$B:$K,10,FALSE()),0),1)</f>
        <v>0</v>
      </c>
      <c r="G55" s="5">
        <f>ROUND(IFERROR(AVERAGEIF(Week3_Individual!$B:$B,$C55,Week3_Individual!$H:$H),0)+IFERROR(VLOOKUP($C55,Week3_Team!$B:$K,10,FALSE()),0),1)</f>
        <v>0</v>
      </c>
      <c r="H55" s="5">
        <f>ROUND(IFERROR(AVERAGEIF(Week4_Individual!$B:$B,$C55,Week4_Individual!$H:$H),0)+IFERROR(VLOOKUP($C55,Week4_Team!$B:$K,10,FALSE()),0),1)</f>
        <v>0</v>
      </c>
      <c r="I55" s="5">
        <f>ROUND(IFERROR(AVERAGEIF(Week5_Individual!$B:$B,$C55,Week5_Individual!$H:$H),0)+IFERROR(VLOOKUP($C55,Week5_Team!$B:$K,10,FALSE()),0),1)</f>
        <v>0</v>
      </c>
      <c r="J55" s="8">
        <v>0.0</v>
      </c>
      <c r="K55" s="9">
        <f t="shared" si="2"/>
        <v>0</v>
      </c>
    </row>
    <row r="56" ht="15.75" customHeight="1">
      <c r="A56" s="6">
        <f t="shared" si="1"/>
        <v>47</v>
      </c>
      <c r="B56" s="7" t="s">
        <v>191</v>
      </c>
      <c r="C56" s="16" t="s">
        <v>192</v>
      </c>
      <c r="D56" s="7" t="s">
        <v>86</v>
      </c>
      <c r="E56" s="5">
        <f>ROUND(IFERROR(AVERAGEIF(Week1_Individual!$B:$B,$C56,Week1_Individual!$H:$H),0)+IFERROR(VLOOKUP($C56,Week1_Team!$B:$K,10,FALSE()),0),1)</f>
        <v>0</v>
      </c>
      <c r="F56" s="5">
        <f>ROUND(IFERROR(AVERAGEIF(Week2_Individual!$B:$B,$C56,Week2_Individual!$H:$H),0)+IFERROR(VLOOKUP($C56,Week2_Team!$B:$K,10,FALSE()),0),1)</f>
        <v>0</v>
      </c>
      <c r="G56" s="5">
        <f>ROUND(IFERROR(AVERAGEIF(Week3_Individual!$B:$B,$C56,Week3_Individual!$H:$H),0)+IFERROR(VLOOKUP($C56,Week3_Team!$B:$K,10,FALSE()),0),1)</f>
        <v>0</v>
      </c>
      <c r="H56" s="5">
        <f>ROUND(IFERROR(AVERAGEIF(Week4_Individual!$B:$B,$C56,Week4_Individual!$H:$H),0)+IFERROR(VLOOKUP($C56,Week4_Team!$B:$K,10,FALSE()),0),1)</f>
        <v>0</v>
      </c>
      <c r="I56" s="5">
        <f>ROUND(IFERROR(AVERAGEIF(Week5_Individual!$B:$B,$C56,Week5_Individual!$H:$H),0)+IFERROR(VLOOKUP($C56,Week5_Team!$B:$K,10,FALSE()),0),1)</f>
        <v>0</v>
      </c>
      <c r="J56" s="8">
        <v>0.0</v>
      </c>
      <c r="K56" s="9">
        <f t="shared" si="2"/>
        <v>0</v>
      </c>
    </row>
    <row r="57" ht="15.75" customHeight="1">
      <c r="A57" s="6">
        <f t="shared" si="1"/>
        <v>37</v>
      </c>
      <c r="B57" s="7" t="s">
        <v>193</v>
      </c>
      <c r="C57" s="7" t="s">
        <v>194</v>
      </c>
      <c r="D57" s="7" t="s">
        <v>95</v>
      </c>
      <c r="E57" s="5">
        <f>ROUND(IFERROR(AVERAGEIF(Week1_Individual!$B:$B,$C57,Week1_Individual!$H:$H),0)+IFERROR(VLOOKUP($C57,Week1_Team!$B:$K,10,FALSE()),0),1)</f>
        <v>10</v>
      </c>
      <c r="F57" s="5">
        <f>ROUND(IFERROR(AVERAGEIF(Week2_Individual!$B:$B,$C57,Week2_Individual!$H:$H),0)+IFERROR(VLOOKUP($C57,Week2_Team!$B:$K,10,FALSE()),0),1)</f>
        <v>0</v>
      </c>
      <c r="G57" s="5">
        <f>ROUND(IFERROR(AVERAGEIF(Week3_Individual!$B:$B,$C57,Week3_Individual!$H:$H),0)+IFERROR(VLOOKUP($C57,Week3_Team!$B:$K,10,FALSE()),0),1)</f>
        <v>0</v>
      </c>
      <c r="H57" s="5">
        <f>ROUND(IFERROR(AVERAGEIF(Week4_Individual!$B:$B,$C57,Week4_Individual!$H:$H),0)+IFERROR(VLOOKUP($C57,Week4_Team!$B:$K,10,FALSE()),0),1)</f>
        <v>0</v>
      </c>
      <c r="I57" s="5">
        <f>ROUND(IFERROR(AVERAGEIF(Week5_Individual!$B:$B,$C57,Week5_Individual!$H:$H),0)+IFERROR(VLOOKUP($C57,Week5_Team!$B:$K,10,FALSE()),0),1)</f>
        <v>0</v>
      </c>
      <c r="J57" s="8">
        <v>0.0</v>
      </c>
      <c r="K57" s="9">
        <f t="shared" si="2"/>
        <v>10</v>
      </c>
    </row>
    <row r="58" ht="15.75" customHeight="1">
      <c r="A58" s="6">
        <f t="shared" si="1"/>
        <v>47</v>
      </c>
      <c r="B58" s="7" t="s">
        <v>195</v>
      </c>
      <c r="C58" s="7" t="s">
        <v>196</v>
      </c>
      <c r="D58" s="7" t="s">
        <v>81</v>
      </c>
      <c r="E58" s="5">
        <f>ROUND(IFERROR(AVERAGEIF(Week1_Individual!$B:$B,$C58,Week1_Individual!$H:$H),0)+IFERROR(VLOOKUP($C58,Week1_Team!$B:$K,10,FALSE()),0),1)</f>
        <v>0</v>
      </c>
      <c r="F58" s="5">
        <f>ROUND(IFERROR(AVERAGEIF(Week2_Individual!$B:$B,$C58,Week2_Individual!$H:$H),0)+IFERROR(VLOOKUP($C58,Week2_Team!$B:$K,10,FALSE()),0),1)</f>
        <v>0</v>
      </c>
      <c r="G58" s="5">
        <f>ROUND(IFERROR(AVERAGEIF(Week3_Individual!$B:$B,$C58,Week3_Individual!$H:$H),0)+IFERROR(VLOOKUP($C58,Week3_Team!$B:$K,10,FALSE()),0),1)</f>
        <v>0</v>
      </c>
      <c r="H58" s="5">
        <f>ROUND(IFERROR(AVERAGEIF(Week4_Individual!$B:$B,$C58,Week4_Individual!$H:$H),0)+IFERROR(VLOOKUP($C58,Week4_Team!$B:$K,10,FALSE()),0),1)</f>
        <v>0</v>
      </c>
      <c r="I58" s="5">
        <f>ROUND(IFERROR(AVERAGEIF(Week5_Individual!$B:$B,$C58,Week5_Individual!$H:$H),0)+IFERROR(VLOOKUP($C58,Week5_Team!$B:$K,10,FALSE()),0),1)</f>
        <v>0</v>
      </c>
      <c r="J58" s="8">
        <v>0.0</v>
      </c>
      <c r="K58" s="9">
        <f t="shared" si="2"/>
        <v>0</v>
      </c>
    </row>
    <row r="59" ht="15.75" customHeight="1">
      <c r="A59" s="6">
        <f t="shared" si="1"/>
        <v>47</v>
      </c>
      <c r="B59" s="7" t="s">
        <v>197</v>
      </c>
      <c r="C59" s="7" t="s">
        <v>198</v>
      </c>
      <c r="D59" s="7" t="s">
        <v>95</v>
      </c>
      <c r="E59" s="5">
        <f>ROUND(IFERROR(AVERAGEIF(Week1_Individual!$B:$B,$C59,Week1_Individual!$H:$H),0)+IFERROR(VLOOKUP($C59,Week1_Team!$B:$K,10,FALSE()),0),1)</f>
        <v>0</v>
      </c>
      <c r="F59" s="5">
        <f>ROUND(IFERROR(AVERAGEIF(Week2_Individual!$B:$B,$C59,Week2_Individual!$H:$H),0)+IFERROR(VLOOKUP($C59,Week2_Team!$B:$K,10,FALSE()),0),1)</f>
        <v>0</v>
      </c>
      <c r="G59" s="5">
        <f>ROUND(IFERROR(AVERAGEIF(Week3_Individual!$B:$B,$C59,Week3_Individual!$H:$H),0)+IFERROR(VLOOKUP($C59,Week3_Team!$B:$K,10,FALSE()),0),1)</f>
        <v>0</v>
      </c>
      <c r="H59" s="5">
        <f>ROUND(IFERROR(AVERAGEIF(Week4_Individual!$B:$B,$C59,Week4_Individual!$H:$H),0)+IFERROR(VLOOKUP($C59,Week4_Team!$B:$K,10,FALSE()),0),1)</f>
        <v>0</v>
      </c>
      <c r="I59" s="5">
        <f>ROUND(IFERROR(AVERAGEIF(Week5_Individual!$B:$B,$C59,Week5_Individual!$H:$H),0)+IFERROR(VLOOKUP($C59,Week5_Team!$B:$K,10,FALSE()),0),1)</f>
        <v>0</v>
      </c>
      <c r="J59" s="8">
        <v>0.0</v>
      </c>
      <c r="K59" s="9">
        <f t="shared" si="2"/>
        <v>0</v>
      </c>
    </row>
    <row r="60" ht="15.75" customHeight="1">
      <c r="A60" s="6">
        <f t="shared" si="1"/>
        <v>47</v>
      </c>
      <c r="B60" s="7" t="s">
        <v>199</v>
      </c>
      <c r="C60" s="16" t="s">
        <v>200</v>
      </c>
      <c r="D60" s="7" t="s">
        <v>86</v>
      </c>
      <c r="E60" s="5">
        <f>ROUND(IFERROR(AVERAGEIF(Week1_Individual!$B:$B,$C60,Week1_Individual!$H:$H),0)+IFERROR(VLOOKUP($C60,Week1_Team!$B:$K,10,FALSE()),0),1)</f>
        <v>0</v>
      </c>
      <c r="F60" s="5">
        <f>ROUND(IFERROR(AVERAGEIF(Week2_Individual!$B:$B,$C60,Week2_Individual!$H:$H),0)+IFERROR(VLOOKUP($C60,Week2_Team!$B:$K,10,FALSE()),0),1)</f>
        <v>0</v>
      </c>
      <c r="G60" s="5">
        <f>ROUND(IFERROR(AVERAGEIF(Week3_Individual!$B:$B,$C60,Week3_Individual!$H:$H),0)+IFERROR(VLOOKUP($C60,Week3_Team!$B:$K,10,FALSE()),0),1)</f>
        <v>0</v>
      </c>
      <c r="H60" s="5">
        <f>ROUND(IFERROR(AVERAGEIF(Week4_Individual!$B:$B,$C60,Week4_Individual!$H:$H),0)+IFERROR(VLOOKUP($C60,Week4_Team!$B:$K,10,FALSE()),0),1)</f>
        <v>0</v>
      </c>
      <c r="I60" s="5">
        <f>ROUND(IFERROR(AVERAGEIF(Week5_Individual!$B:$B,$C60,Week5_Individual!$H:$H),0)+IFERROR(VLOOKUP($C60,Week5_Team!$B:$K,10,FALSE()),0),1)</f>
        <v>0</v>
      </c>
      <c r="J60" s="8">
        <v>0.0</v>
      </c>
      <c r="K60" s="9">
        <f t="shared" si="2"/>
        <v>0</v>
      </c>
    </row>
    <row r="61" ht="15.75" customHeight="1">
      <c r="A61" s="6">
        <f t="shared" si="1"/>
        <v>28</v>
      </c>
      <c r="B61" s="7" t="s">
        <v>201</v>
      </c>
      <c r="C61" s="16" t="s">
        <v>202</v>
      </c>
      <c r="D61" s="7" t="s">
        <v>86</v>
      </c>
      <c r="E61" s="5">
        <f>ROUND(IFERROR(AVERAGEIF(Week1_Individual!$B:$B,$C61,Week1_Individual!$H:$H),0)+IFERROR(VLOOKUP($C61,Week1_Team!$B:$K,10,FALSE()),0),1)</f>
        <v>0</v>
      </c>
      <c r="F61" s="5">
        <f>ROUND(IFERROR(AVERAGEIF(Week2_Individual!$B:$B,$C61,Week2_Individual!$H:$H),0)+IFERROR(VLOOKUP($C61,Week2_Team!$B:$K,10,FALSE()),0),1)</f>
        <v>15</v>
      </c>
      <c r="G61" s="5">
        <f>ROUND(IFERROR(AVERAGEIF(Week3_Individual!$B:$B,$C61,Week3_Individual!$H:$H),0)+IFERROR(VLOOKUP($C61,Week3_Team!$B:$K,10,FALSE()),0),1)</f>
        <v>0</v>
      </c>
      <c r="H61" s="5">
        <f>ROUND(IFERROR(AVERAGEIF(Week4_Individual!$B:$B,$C61,Week4_Individual!$H:$H),0)+IFERROR(VLOOKUP($C61,Week4_Team!$B:$K,10,FALSE()),0),1)</f>
        <v>20</v>
      </c>
      <c r="I61" s="5">
        <f>ROUND(IFERROR(AVERAGEIF(Week5_Individual!$B:$B,$C61,Week5_Individual!$H:$H),0)+IFERROR(VLOOKUP($C61,Week5_Team!$B:$K,10,FALSE()),0),1)</f>
        <v>0</v>
      </c>
      <c r="J61" s="8">
        <v>0.0</v>
      </c>
      <c r="K61" s="9">
        <f t="shared" si="2"/>
        <v>35</v>
      </c>
    </row>
    <row r="62" ht="15.75" customHeight="1">
      <c r="A62" s="6">
        <f t="shared" si="1"/>
        <v>47</v>
      </c>
      <c r="B62" s="7" t="s">
        <v>203</v>
      </c>
      <c r="C62" s="7" t="s">
        <v>204</v>
      </c>
      <c r="D62" s="7" t="s">
        <v>81</v>
      </c>
      <c r="E62" s="5">
        <f>ROUND(IFERROR(AVERAGEIF(Week1_Individual!$B:$B,$C62,Week1_Individual!$H:$H),0)+IFERROR(VLOOKUP($C62,Week1_Team!$B:$K,10,FALSE()),0),1)</f>
        <v>0</v>
      </c>
      <c r="F62" s="5">
        <f>ROUND(IFERROR(AVERAGEIF(Week2_Individual!$B:$B,$C62,Week2_Individual!$H:$H),0)+IFERROR(VLOOKUP($C62,Week2_Team!$B:$K,10,FALSE()),0),1)</f>
        <v>0</v>
      </c>
      <c r="G62" s="5">
        <f>ROUND(IFERROR(AVERAGEIF(Week3_Individual!$B:$B,$C62,Week3_Individual!$H:$H),0)+IFERROR(VLOOKUP($C62,Week3_Team!$B:$K,10,FALSE()),0),1)</f>
        <v>0</v>
      </c>
      <c r="H62" s="5">
        <f>ROUND(IFERROR(AVERAGEIF(Week4_Individual!$B:$B,$C62,Week4_Individual!$H:$H),0)+IFERROR(VLOOKUP($C62,Week4_Team!$B:$K,10,FALSE()),0),1)</f>
        <v>0</v>
      </c>
      <c r="I62" s="5">
        <f>ROUND(IFERROR(AVERAGEIF(Week5_Individual!$B:$B,$C62,Week5_Individual!$H:$H),0)+IFERROR(VLOOKUP($C62,Week5_Team!$B:$K,10,FALSE()),0),1)</f>
        <v>0</v>
      </c>
      <c r="J62" s="8">
        <v>0.0</v>
      </c>
      <c r="K62" s="9">
        <f t="shared" si="2"/>
        <v>0</v>
      </c>
    </row>
    <row r="63" ht="15.75" customHeight="1">
      <c r="A63" s="6">
        <f t="shared" si="1"/>
        <v>47</v>
      </c>
      <c r="B63" s="7" t="s">
        <v>205</v>
      </c>
      <c r="C63" s="7" t="s">
        <v>206</v>
      </c>
      <c r="D63" s="7" t="s">
        <v>166</v>
      </c>
      <c r="E63" s="5">
        <f>ROUND(IFERROR(AVERAGEIF(Week1_Individual!$B:$B,$C63,Week1_Individual!$H:$H),0)+IFERROR(VLOOKUP($C63,Week1_Team!$B:$K,10,FALSE()),0),1)</f>
        <v>0</v>
      </c>
      <c r="F63" s="5">
        <f>ROUND(IFERROR(AVERAGEIF(Week2_Individual!$B:$B,$C63,Week2_Individual!$H:$H),0)+IFERROR(VLOOKUP($C63,Week2_Team!$B:$K,10,FALSE()),0),1)</f>
        <v>0</v>
      </c>
      <c r="G63" s="5">
        <f>ROUND(IFERROR(AVERAGEIF(Week3_Individual!$B:$B,$C63,Week3_Individual!$H:$H),0)+IFERROR(VLOOKUP($C63,Week3_Team!$B:$K,10,FALSE()),0),1)</f>
        <v>0</v>
      </c>
      <c r="H63" s="5">
        <f>ROUND(IFERROR(AVERAGEIF(Week4_Individual!$B:$B,$C63,Week4_Individual!$H:$H),0)+IFERROR(VLOOKUP($C63,Week4_Team!$B:$K,10,FALSE()),0),1)</f>
        <v>0</v>
      </c>
      <c r="I63" s="5">
        <f>ROUND(IFERROR(AVERAGEIF(Week5_Individual!$B:$B,$C63,Week5_Individual!$H:$H),0)+IFERROR(VLOOKUP($C63,Week5_Team!$B:$K,10,FALSE()),0),1)</f>
        <v>0</v>
      </c>
      <c r="J63" s="8">
        <v>0.0</v>
      </c>
      <c r="K63" s="9">
        <f t="shared" si="2"/>
        <v>0</v>
      </c>
    </row>
    <row r="64" ht="15.75" customHeight="1">
      <c r="A64" s="6">
        <f t="shared" si="1"/>
        <v>21</v>
      </c>
      <c r="B64" s="7" t="s">
        <v>207</v>
      </c>
      <c r="C64" s="7" t="s">
        <v>208</v>
      </c>
      <c r="D64" s="7" t="s">
        <v>95</v>
      </c>
      <c r="E64" s="5">
        <f>ROUND(IFERROR(AVERAGEIF(Week1_Individual!$B:$B,$C64,Week1_Individual!$H:$H),0)+IFERROR(VLOOKUP($C64,Week1_Team!$B:$K,10,FALSE()),0),1)</f>
        <v>0</v>
      </c>
      <c r="F64" s="5">
        <f>ROUND(IFERROR(AVERAGEIF(Week2_Individual!$B:$B,$C64,Week2_Individual!$H:$H),0)+IFERROR(VLOOKUP($C64,Week2_Team!$B:$K,10,FALSE()),0),1)</f>
        <v>50</v>
      </c>
      <c r="G64" s="5">
        <f>ROUND(IFERROR(AVERAGEIF(Week3_Individual!$B:$B,$C64,Week3_Individual!$H:$H),0)+IFERROR(VLOOKUP($C64,Week3_Team!$B:$K,10,FALSE()),0),1)</f>
        <v>71.7</v>
      </c>
      <c r="H64" s="5">
        <f>ROUND(IFERROR(AVERAGEIF(Week4_Individual!$B:$B,$C64,Week4_Individual!$H:$H),0)+IFERROR(VLOOKUP($C64,Week4_Team!$B:$K,10,FALSE()),0),1)</f>
        <v>40</v>
      </c>
      <c r="I64" s="5">
        <f>ROUND(IFERROR(AVERAGEIF(Week5_Individual!$B:$B,$C64,Week5_Individual!$H:$H),0)+IFERROR(VLOOKUP($C64,Week5_Team!$B:$K,10,FALSE()),0),1)</f>
        <v>0</v>
      </c>
      <c r="J64" s="8">
        <v>0.0</v>
      </c>
      <c r="K64" s="9">
        <f t="shared" si="2"/>
        <v>161.7</v>
      </c>
    </row>
    <row r="65" ht="15.75" customHeight="1">
      <c r="A65" s="6">
        <f t="shared" si="1"/>
        <v>33</v>
      </c>
      <c r="B65" s="7" t="s">
        <v>209</v>
      </c>
      <c r="C65" s="7" t="s">
        <v>210</v>
      </c>
      <c r="D65" s="7" t="s">
        <v>81</v>
      </c>
      <c r="E65" s="5">
        <f>ROUND(IFERROR(AVERAGEIF(Week1_Individual!$B:$B,$C65,Week1_Individual!$H:$H),0)+IFERROR(VLOOKUP($C65,Week1_Team!$B:$K,10,FALSE()),0),1)</f>
        <v>26.7</v>
      </c>
      <c r="F65" s="5">
        <f>ROUND(IFERROR(AVERAGEIF(Week2_Individual!$B:$B,$C65,Week2_Individual!$H:$H),0)+IFERROR(VLOOKUP($C65,Week2_Team!$B:$K,10,FALSE()),0),1)</f>
        <v>0</v>
      </c>
      <c r="G65" s="5">
        <f>ROUND(IFERROR(AVERAGEIF(Week3_Individual!$B:$B,$C65,Week3_Individual!$H:$H),0)+IFERROR(VLOOKUP($C65,Week3_Team!$B:$K,10,FALSE()),0),1)</f>
        <v>0</v>
      </c>
      <c r="H65" s="5">
        <f>ROUND(IFERROR(AVERAGEIF(Week4_Individual!$B:$B,$C65,Week4_Individual!$H:$H),0)+IFERROR(VLOOKUP($C65,Week4_Team!$B:$K,10,FALSE()),0),1)</f>
        <v>0</v>
      </c>
      <c r="I65" s="5">
        <f>ROUND(IFERROR(AVERAGEIF(Week5_Individual!$B:$B,$C65,Week5_Individual!$H:$H),0)+IFERROR(VLOOKUP($C65,Week5_Team!$B:$K,10,FALSE()),0),1)</f>
        <v>0</v>
      </c>
      <c r="J65" s="8">
        <v>0.0</v>
      </c>
      <c r="K65" s="9">
        <f t="shared" si="2"/>
        <v>26.7</v>
      </c>
    </row>
    <row r="66" ht="15.75" customHeight="1">
      <c r="A66" s="6">
        <f t="shared" si="1"/>
        <v>47</v>
      </c>
      <c r="B66" s="7" t="s">
        <v>211</v>
      </c>
      <c r="C66" s="16" t="s">
        <v>212</v>
      </c>
      <c r="D66" s="7" t="s">
        <v>86</v>
      </c>
      <c r="E66" s="5">
        <f>ROUND(IFERROR(AVERAGEIF(Week1_Individual!$B:$B,$C66,Week1_Individual!$H:$H),0)+IFERROR(VLOOKUP($C66,Week1_Team!$B:$K,10,FALSE()),0),1)</f>
        <v>0</v>
      </c>
      <c r="F66" s="5">
        <f>ROUND(IFERROR(AVERAGEIF(Week2_Individual!$B:$B,$C66,Week2_Individual!$H:$H),0)+IFERROR(VLOOKUP($C66,Week2_Team!$B:$K,10,FALSE()),0),1)</f>
        <v>0</v>
      </c>
      <c r="G66" s="5">
        <f>ROUND(IFERROR(AVERAGEIF(Week3_Individual!$B:$B,$C66,Week3_Individual!$H:$H),0)+IFERROR(VLOOKUP($C66,Week3_Team!$B:$K,10,FALSE()),0),1)</f>
        <v>0</v>
      </c>
      <c r="H66" s="5">
        <f>ROUND(IFERROR(AVERAGEIF(Week4_Individual!$B:$B,$C66,Week4_Individual!$H:$H),0)+IFERROR(VLOOKUP($C66,Week4_Team!$B:$K,10,FALSE()),0),1)</f>
        <v>0</v>
      </c>
      <c r="I66" s="5">
        <f>ROUND(IFERROR(AVERAGEIF(Week5_Individual!$B:$B,$C66,Week5_Individual!$H:$H),0)+IFERROR(VLOOKUP($C66,Week5_Team!$B:$K,10,FALSE()),0),1)</f>
        <v>0</v>
      </c>
      <c r="J66" s="8">
        <v>0.0</v>
      </c>
      <c r="K66" s="9">
        <f t="shared" si="2"/>
        <v>0</v>
      </c>
    </row>
    <row r="67" ht="15.75" customHeight="1">
      <c r="A67" s="6">
        <f t="shared" si="1"/>
        <v>37</v>
      </c>
      <c r="B67" s="7" t="s">
        <v>213</v>
      </c>
      <c r="C67" s="16" t="s">
        <v>214</v>
      </c>
      <c r="D67" s="7" t="s">
        <v>86</v>
      </c>
      <c r="E67" s="5">
        <f>ROUND(IFERROR(AVERAGEIF(Week1_Individual!$B:$B,$C67,Week1_Individual!$H:$H),0)+IFERROR(VLOOKUP($C67,Week1_Team!$B:$K,10,FALSE()),0),1)</f>
        <v>10</v>
      </c>
      <c r="F67" s="5">
        <f>ROUND(IFERROR(AVERAGEIF(Week2_Individual!$B:$B,$C67,Week2_Individual!$H:$H),0)+IFERROR(VLOOKUP($C67,Week2_Team!$B:$K,10,FALSE()),0),1)</f>
        <v>0</v>
      </c>
      <c r="G67" s="5">
        <f>ROUND(IFERROR(AVERAGEIF(Week3_Individual!$B:$B,$C67,Week3_Individual!$H:$H),0)+IFERROR(VLOOKUP($C67,Week3_Team!$B:$K,10,FALSE()),0),1)</f>
        <v>0</v>
      </c>
      <c r="H67" s="5">
        <f>ROUND(IFERROR(AVERAGEIF(Week4_Individual!$B:$B,$C67,Week4_Individual!$H:$H),0)+IFERROR(VLOOKUP($C67,Week4_Team!$B:$K,10,FALSE()),0),1)</f>
        <v>0</v>
      </c>
      <c r="I67" s="5">
        <f>ROUND(IFERROR(AVERAGEIF(Week5_Individual!$B:$B,$C67,Week5_Individual!$H:$H),0)+IFERROR(VLOOKUP($C67,Week5_Team!$B:$K,10,FALSE()),0),1)</f>
        <v>0</v>
      </c>
      <c r="J67" s="8">
        <v>0.0</v>
      </c>
      <c r="K67" s="9">
        <f t="shared" si="2"/>
        <v>10</v>
      </c>
    </row>
    <row r="68" ht="15.75" customHeight="1">
      <c r="A68" s="6">
        <f t="shared" si="1"/>
        <v>19</v>
      </c>
      <c r="B68" s="7" t="s">
        <v>215</v>
      </c>
      <c r="C68" s="7" t="s">
        <v>216</v>
      </c>
      <c r="D68" s="7" t="s">
        <v>81</v>
      </c>
      <c r="E68" s="5">
        <f>ROUND(IFERROR(AVERAGEIF(Week1_Individual!$B:$B,$C68,Week1_Individual!$H:$H),0)+IFERROR(VLOOKUP($C68,Week1_Team!$B:$K,10,FALSE()),0),1)</f>
        <v>70</v>
      </c>
      <c r="F68" s="5">
        <f>ROUND(IFERROR(AVERAGEIF(Week2_Individual!$B:$B,$C68,Week2_Individual!$H:$H),0)+IFERROR(VLOOKUP($C68,Week2_Team!$B:$K,10,FALSE()),0),1)</f>
        <v>110</v>
      </c>
      <c r="G68" s="5">
        <f>ROUND(IFERROR(AVERAGEIF(Week3_Individual!$B:$B,$C68,Week3_Individual!$H:$H),0)+IFERROR(VLOOKUP($C68,Week3_Team!$B:$K,10,FALSE()),0),1)</f>
        <v>35</v>
      </c>
      <c r="H68" s="5">
        <f>ROUND(IFERROR(AVERAGEIF(Week4_Individual!$B:$B,$C68,Week4_Individual!$H:$H),0)+IFERROR(VLOOKUP($C68,Week4_Team!$B:$K,10,FALSE()),0),1)</f>
        <v>30</v>
      </c>
      <c r="I68" s="5">
        <f>ROUND(IFERROR(AVERAGEIF(Week5_Individual!$B:$B,$C68,Week5_Individual!$H:$H),0)+IFERROR(VLOOKUP($C68,Week5_Team!$B:$K,10,FALSE()),0),1)</f>
        <v>0</v>
      </c>
      <c r="J68" s="8">
        <v>0.0</v>
      </c>
      <c r="K68" s="9">
        <f t="shared" si="2"/>
        <v>245</v>
      </c>
    </row>
    <row r="69" ht="15.75" customHeight="1">
      <c r="A69" s="6">
        <f t="shared" si="1"/>
        <v>47</v>
      </c>
      <c r="B69" s="7" t="s">
        <v>217</v>
      </c>
      <c r="C69" s="7" t="s">
        <v>218</v>
      </c>
      <c r="D69" s="7" t="s">
        <v>95</v>
      </c>
      <c r="E69" s="5">
        <f>ROUND(IFERROR(AVERAGEIF(Week1_Individual!$B:$B,$C69,Week1_Individual!$H:$H),0)+IFERROR(VLOOKUP($C69,Week1_Team!$B:$K,10,FALSE()),0),1)</f>
        <v>0</v>
      </c>
      <c r="F69" s="5">
        <f>ROUND(IFERROR(AVERAGEIF(Week2_Individual!$B:$B,$C69,Week2_Individual!$H:$H),0)+IFERROR(VLOOKUP($C69,Week2_Team!$B:$K,10,FALSE()),0),1)</f>
        <v>0</v>
      </c>
      <c r="G69" s="5">
        <f>ROUND(IFERROR(AVERAGEIF(Week3_Individual!$B:$B,$C69,Week3_Individual!$H:$H),0)+IFERROR(VLOOKUP($C69,Week3_Team!$B:$K,10,FALSE()),0),1)</f>
        <v>0</v>
      </c>
      <c r="H69" s="5">
        <f>ROUND(IFERROR(AVERAGEIF(Week4_Individual!$B:$B,$C69,Week4_Individual!$H:$H),0)+IFERROR(VLOOKUP($C69,Week4_Team!$B:$K,10,FALSE()),0),1)</f>
        <v>0</v>
      </c>
      <c r="I69" s="5">
        <f>ROUND(IFERROR(AVERAGEIF(Week5_Individual!$B:$B,$C69,Week5_Individual!$H:$H),0)+IFERROR(VLOOKUP($C69,Week5_Team!$B:$K,10,FALSE()),0),1)</f>
        <v>0</v>
      </c>
      <c r="J69" s="8">
        <v>0.0</v>
      </c>
      <c r="K69" s="9">
        <f t="shared" si="2"/>
        <v>0</v>
      </c>
    </row>
    <row r="70" ht="15.75" customHeight="1">
      <c r="A70" s="6">
        <f t="shared" si="1"/>
        <v>47</v>
      </c>
      <c r="B70" s="7" t="s">
        <v>219</v>
      </c>
      <c r="C70" s="7" t="s">
        <v>220</v>
      </c>
      <c r="D70" s="7" t="s">
        <v>95</v>
      </c>
      <c r="E70" s="5">
        <f>ROUND(IFERROR(AVERAGEIF(Week1_Individual!$B:$B,$C70,Week1_Individual!$H:$H),0)+IFERROR(VLOOKUP($C70,Week1_Team!$B:$K,10,FALSE()),0),1)</f>
        <v>0</v>
      </c>
      <c r="F70" s="5">
        <f>ROUND(IFERROR(AVERAGEIF(Week2_Individual!$B:$B,$C70,Week2_Individual!$H:$H),0)+IFERROR(VLOOKUP($C70,Week2_Team!$B:$K,10,FALSE()),0),1)</f>
        <v>0</v>
      </c>
      <c r="G70" s="5">
        <f>ROUND(IFERROR(AVERAGEIF(Week3_Individual!$B:$B,$C70,Week3_Individual!$H:$H),0)+IFERROR(VLOOKUP($C70,Week3_Team!$B:$K,10,FALSE()),0),1)</f>
        <v>0</v>
      </c>
      <c r="H70" s="5">
        <f>ROUND(IFERROR(AVERAGEIF(Week4_Individual!$B:$B,$C70,Week4_Individual!$H:$H),0)+IFERROR(VLOOKUP($C70,Week4_Team!$B:$K,10,FALSE()),0),1)</f>
        <v>0</v>
      </c>
      <c r="I70" s="5">
        <f>ROUND(IFERROR(AVERAGEIF(Week5_Individual!$B:$B,$C70,Week5_Individual!$H:$H),0)+IFERROR(VLOOKUP($C70,Week5_Team!$B:$K,10,FALSE()),0),1)</f>
        <v>0</v>
      </c>
      <c r="J70" s="8">
        <v>0.0</v>
      </c>
      <c r="K70" s="9">
        <f t="shared" si="2"/>
        <v>0</v>
      </c>
    </row>
    <row r="71" ht="15.75" customHeight="1">
      <c r="A71" s="6">
        <f t="shared" si="1"/>
        <v>45</v>
      </c>
      <c r="B71" s="7" t="s">
        <v>221</v>
      </c>
      <c r="C71" s="7" t="s">
        <v>222</v>
      </c>
      <c r="D71" s="7" t="s">
        <v>81</v>
      </c>
      <c r="E71" s="5">
        <f>ROUND(IFERROR(AVERAGEIF(Week1_Individual!$B:$B,$C71,Week1_Individual!$H:$H),0)+IFERROR(VLOOKUP($C71,Week1_Team!$B:$K,10,FALSE()),0),1)</f>
        <v>6.7</v>
      </c>
      <c r="F71" s="5">
        <f>ROUND(IFERROR(AVERAGEIF(Week2_Individual!$B:$B,$C71,Week2_Individual!$H:$H),0)+IFERROR(VLOOKUP($C71,Week2_Team!$B:$K,10,FALSE()),0),1)</f>
        <v>0</v>
      </c>
      <c r="G71" s="5">
        <f>ROUND(IFERROR(AVERAGEIF(Week3_Individual!$B:$B,$C71,Week3_Individual!$H:$H),0)+IFERROR(VLOOKUP($C71,Week3_Team!$B:$K,10,FALSE()),0),1)</f>
        <v>0</v>
      </c>
      <c r="H71" s="5">
        <f>ROUND(IFERROR(AVERAGEIF(Week4_Individual!$B:$B,$C71,Week4_Individual!$H:$H),0)+IFERROR(VLOOKUP($C71,Week4_Team!$B:$K,10,FALSE()),0),1)</f>
        <v>0</v>
      </c>
      <c r="I71" s="5">
        <f>ROUND(IFERROR(AVERAGEIF(Week5_Individual!$B:$B,$C71,Week5_Individual!$H:$H),0)+IFERROR(VLOOKUP($C71,Week5_Team!$B:$K,10,FALSE()),0),1)</f>
        <v>0</v>
      </c>
      <c r="J71" s="8">
        <v>0.0</v>
      </c>
      <c r="K71" s="9">
        <f t="shared" si="2"/>
        <v>6.7</v>
      </c>
    </row>
    <row r="72" ht="15.75" customHeight="1">
      <c r="A72" s="6">
        <f t="shared" si="1"/>
        <v>27</v>
      </c>
      <c r="B72" s="7" t="s">
        <v>223</v>
      </c>
      <c r="C72" s="7" t="s">
        <v>224</v>
      </c>
      <c r="D72" s="7" t="s">
        <v>81</v>
      </c>
      <c r="E72" s="5">
        <f>ROUND(IFERROR(AVERAGEIF(Week1_Individual!$B:$B,$C72,Week1_Individual!$H:$H),0)+IFERROR(VLOOKUP($C72,Week1_Team!$B:$K,10,FALSE()),0),1)</f>
        <v>28.8</v>
      </c>
      <c r="F72" s="5">
        <f>ROUND(IFERROR(AVERAGEIF(Week2_Individual!$B:$B,$C72,Week2_Individual!$H:$H),0)+IFERROR(VLOOKUP($C72,Week2_Team!$B:$K,10,FALSE()),0),1)</f>
        <v>5</v>
      </c>
      <c r="G72" s="5">
        <f>ROUND(IFERROR(AVERAGEIF(Week3_Individual!$B:$B,$C72,Week3_Individual!$H:$H),0)+IFERROR(VLOOKUP($C72,Week3_Team!$B:$K,10,FALSE()),0),1)</f>
        <v>5</v>
      </c>
      <c r="H72" s="5">
        <f>ROUND(IFERROR(AVERAGEIF(Week4_Individual!$B:$B,$C72,Week4_Individual!$H:$H),0)+IFERROR(VLOOKUP($C72,Week4_Team!$B:$K,10,FALSE()),0),1)</f>
        <v>5</v>
      </c>
      <c r="I72" s="5">
        <f>ROUND(IFERROR(AVERAGEIF(Week5_Individual!$B:$B,$C72,Week5_Individual!$H:$H),0)+IFERROR(VLOOKUP($C72,Week5_Team!$B:$K,10,FALSE()),0),1)</f>
        <v>0</v>
      </c>
      <c r="J72" s="8">
        <v>0.0</v>
      </c>
      <c r="K72" s="9">
        <f t="shared" si="2"/>
        <v>43.8</v>
      </c>
    </row>
    <row r="73" ht="15.75" customHeight="1">
      <c r="A73" s="6">
        <f t="shared" si="1"/>
        <v>47</v>
      </c>
      <c r="B73" s="7" t="s">
        <v>225</v>
      </c>
      <c r="C73" s="7" t="s">
        <v>226</v>
      </c>
      <c r="D73" s="7" t="s">
        <v>95</v>
      </c>
      <c r="E73" s="5">
        <f>ROUND(IFERROR(AVERAGEIF(Week1_Individual!$B:$B,$C73,Week1_Individual!$H:$H),0)+IFERROR(VLOOKUP($C73,Week1_Team!$B:$K,10,FALSE()),0),1)</f>
        <v>0</v>
      </c>
      <c r="F73" s="5">
        <f>ROUND(IFERROR(AVERAGEIF(Week2_Individual!$B:$B,$C73,Week2_Individual!$H:$H),0)+IFERROR(VLOOKUP($C73,Week2_Team!$B:$K,10,FALSE()),0),1)</f>
        <v>0</v>
      </c>
      <c r="G73" s="5">
        <f>ROUND(IFERROR(AVERAGEIF(Week3_Individual!$B:$B,$C73,Week3_Individual!$H:$H),0)+IFERROR(VLOOKUP($C73,Week3_Team!$B:$K,10,FALSE()),0),1)</f>
        <v>0</v>
      </c>
      <c r="H73" s="5">
        <f>ROUND(IFERROR(AVERAGEIF(Week4_Individual!$B:$B,$C73,Week4_Individual!$H:$H),0)+IFERROR(VLOOKUP($C73,Week4_Team!$B:$K,10,FALSE()),0),1)</f>
        <v>0</v>
      </c>
      <c r="I73" s="5">
        <f>ROUND(IFERROR(AVERAGEIF(Week5_Individual!$B:$B,$C73,Week5_Individual!$H:$H),0)+IFERROR(VLOOKUP($C73,Week5_Team!$B:$K,10,FALSE()),0),1)</f>
        <v>0</v>
      </c>
      <c r="J73" s="8">
        <v>0.0</v>
      </c>
      <c r="K73" s="9">
        <f t="shared" si="2"/>
        <v>0</v>
      </c>
    </row>
    <row r="74" ht="15.75" customHeight="1">
      <c r="A74" s="6">
        <f t="shared" si="1"/>
        <v>47</v>
      </c>
      <c r="B74" s="7" t="s">
        <v>227</v>
      </c>
      <c r="C74" s="7" t="s">
        <v>228</v>
      </c>
      <c r="D74" s="7" t="s">
        <v>81</v>
      </c>
      <c r="E74" s="5">
        <f>ROUND(IFERROR(AVERAGEIF(Week1_Individual!$B:$B,$C74,Week1_Individual!$H:$H),0)+IFERROR(VLOOKUP($C74,Week1_Team!$B:$K,10,FALSE()),0),1)</f>
        <v>0</v>
      </c>
      <c r="F74" s="5">
        <f>ROUND(IFERROR(AVERAGEIF(Week2_Individual!$B:$B,$C74,Week2_Individual!$H:$H),0)+IFERROR(VLOOKUP($C74,Week2_Team!$B:$K,10,FALSE()),0),1)</f>
        <v>0</v>
      </c>
      <c r="G74" s="5">
        <f>ROUND(IFERROR(AVERAGEIF(Week3_Individual!$B:$B,$C74,Week3_Individual!$H:$H),0)+IFERROR(VLOOKUP($C74,Week3_Team!$B:$K,10,FALSE()),0),1)</f>
        <v>0</v>
      </c>
      <c r="H74" s="5">
        <f>ROUND(IFERROR(AVERAGEIF(Week4_Individual!$B:$B,$C74,Week4_Individual!$H:$H),0)+IFERROR(VLOOKUP($C74,Week4_Team!$B:$K,10,FALSE()),0),1)</f>
        <v>0</v>
      </c>
      <c r="I74" s="5">
        <f>ROUND(IFERROR(AVERAGEIF(Week5_Individual!$B:$B,$C74,Week5_Individual!$H:$H),0)+IFERROR(VLOOKUP($C74,Week5_Team!$B:$K,10,FALSE()),0),1)</f>
        <v>0</v>
      </c>
      <c r="J74" s="8">
        <v>0.0</v>
      </c>
      <c r="K74" s="9">
        <f t="shared" si="2"/>
        <v>0</v>
      </c>
    </row>
    <row r="75" ht="15.75" customHeight="1">
      <c r="A75" s="6">
        <f t="shared" si="1"/>
        <v>47</v>
      </c>
      <c r="B75" s="7" t="s">
        <v>229</v>
      </c>
      <c r="C75" s="7" t="s">
        <v>230</v>
      </c>
      <c r="D75" s="7" t="s">
        <v>95</v>
      </c>
      <c r="E75" s="5">
        <f>ROUND(IFERROR(AVERAGEIF(Week1_Individual!$B:$B,$C75,Week1_Individual!$H:$H),0)+IFERROR(VLOOKUP($C75,Week1_Team!$B:$K,10,FALSE()),0),1)</f>
        <v>0</v>
      </c>
      <c r="F75" s="5">
        <f>ROUND(IFERROR(AVERAGEIF(Week2_Individual!$B:$B,$C75,Week2_Individual!$H:$H),0)+IFERROR(VLOOKUP($C75,Week2_Team!$B:$K,10,FALSE()),0),1)</f>
        <v>0</v>
      </c>
      <c r="G75" s="5">
        <f>ROUND(IFERROR(AVERAGEIF(Week3_Individual!$B:$B,$C75,Week3_Individual!$H:$H),0)+IFERROR(VLOOKUP($C75,Week3_Team!$B:$K,10,FALSE()),0),1)</f>
        <v>0</v>
      </c>
      <c r="H75" s="5">
        <f>ROUND(IFERROR(AVERAGEIF(Week4_Individual!$B:$B,$C75,Week4_Individual!$H:$H),0)+IFERROR(VLOOKUP($C75,Week4_Team!$B:$K,10,FALSE()),0),1)</f>
        <v>0</v>
      </c>
      <c r="I75" s="5">
        <f>ROUND(IFERROR(AVERAGEIF(Week5_Individual!$B:$B,$C75,Week5_Individual!$H:$H),0)+IFERROR(VLOOKUP($C75,Week5_Team!$B:$K,10,FALSE()),0),1)</f>
        <v>0</v>
      </c>
      <c r="J75" s="8">
        <v>0.0</v>
      </c>
      <c r="K75" s="9">
        <f t="shared" si="2"/>
        <v>0</v>
      </c>
    </row>
    <row r="76" ht="15.75" customHeight="1">
      <c r="A76" s="6">
        <f t="shared" si="1"/>
        <v>37</v>
      </c>
      <c r="B76" s="7" t="s">
        <v>231</v>
      </c>
      <c r="C76" s="16" t="s">
        <v>232</v>
      </c>
      <c r="D76" s="7" t="s">
        <v>86</v>
      </c>
      <c r="E76" s="5">
        <f>ROUND(IFERROR(AVERAGEIF(Week1_Individual!$B:$B,$C76,Week1_Individual!$H:$H),0)+IFERROR(VLOOKUP($C76,Week1_Team!$B:$K,10,FALSE()),0),1)</f>
        <v>10</v>
      </c>
      <c r="F76" s="5">
        <f>ROUND(IFERROR(AVERAGEIF(Week2_Individual!$B:$B,$C76,Week2_Individual!$H:$H),0)+IFERROR(VLOOKUP($C76,Week2_Team!$B:$K,10,FALSE()),0),1)</f>
        <v>0</v>
      </c>
      <c r="G76" s="5">
        <f>ROUND(IFERROR(AVERAGEIF(Week3_Individual!$B:$B,$C76,Week3_Individual!$H:$H),0)+IFERROR(VLOOKUP($C76,Week3_Team!$B:$K,10,FALSE()),0),1)</f>
        <v>0</v>
      </c>
      <c r="H76" s="5">
        <f>ROUND(IFERROR(AVERAGEIF(Week4_Individual!$B:$B,$C76,Week4_Individual!$H:$H),0)+IFERROR(VLOOKUP($C76,Week4_Team!$B:$K,10,FALSE()),0),1)</f>
        <v>0</v>
      </c>
      <c r="I76" s="5">
        <f>ROUND(IFERROR(AVERAGEIF(Week5_Individual!$B:$B,$C76,Week5_Individual!$H:$H),0)+IFERROR(VLOOKUP($C76,Week5_Team!$B:$K,10,FALSE()),0),1)</f>
        <v>0</v>
      </c>
      <c r="J76" s="8">
        <v>0.0</v>
      </c>
      <c r="K76" s="9">
        <f t="shared" si="2"/>
        <v>10</v>
      </c>
    </row>
    <row r="77" ht="15.75" customHeight="1">
      <c r="A77" s="6">
        <f t="shared" si="1"/>
        <v>24</v>
      </c>
      <c r="B77" s="7" t="s">
        <v>233</v>
      </c>
      <c r="C77" s="7" t="s">
        <v>234</v>
      </c>
      <c r="D77" s="7" t="s">
        <v>81</v>
      </c>
      <c r="E77" s="5">
        <f>ROUND(IFERROR(AVERAGEIF(Week1_Individual!$B:$B,$C77,Week1_Individual!$H:$H),0)+IFERROR(VLOOKUP($C77,Week1_Team!$B:$K,10,FALSE()),0),1)</f>
        <v>32.5</v>
      </c>
      <c r="F77" s="5">
        <f>ROUND(IFERROR(AVERAGEIF(Week2_Individual!$B:$B,$C77,Week2_Individual!$H:$H),0)+IFERROR(VLOOKUP($C77,Week2_Team!$B:$K,10,FALSE()),0),1)</f>
        <v>45</v>
      </c>
      <c r="G77" s="5">
        <f>ROUND(IFERROR(AVERAGEIF(Week3_Individual!$B:$B,$C77,Week3_Individual!$H:$H),0)+IFERROR(VLOOKUP($C77,Week3_Team!$B:$K,10,FALSE()),0),1)</f>
        <v>10</v>
      </c>
      <c r="H77" s="5">
        <f>ROUND(IFERROR(AVERAGEIF(Week4_Individual!$B:$B,$C77,Week4_Individual!$H:$H),0)+IFERROR(VLOOKUP($C77,Week4_Team!$B:$K,10,FALSE()),0),1)</f>
        <v>0</v>
      </c>
      <c r="I77" s="5">
        <f>ROUND(IFERROR(AVERAGEIF(Week5_Individual!$B:$B,$C77,Week5_Individual!$H:$H),0)+IFERROR(VLOOKUP($C77,Week5_Team!$B:$K,10,FALSE()),0),1)</f>
        <v>0</v>
      </c>
      <c r="J77" s="8">
        <v>0.0</v>
      </c>
      <c r="K77" s="9">
        <f t="shared" si="2"/>
        <v>87.5</v>
      </c>
    </row>
    <row r="78" ht="15.75" customHeight="1">
      <c r="A78" s="6">
        <f t="shared" si="1"/>
        <v>4</v>
      </c>
      <c r="B78" s="7" t="s">
        <v>235</v>
      </c>
      <c r="C78" s="7" t="s">
        <v>236</v>
      </c>
      <c r="D78" s="7" t="s">
        <v>166</v>
      </c>
      <c r="E78" s="5">
        <f>ROUND(IFERROR(AVERAGEIF(Week1_Individual!$B:$B,$C78,Week1_Individual!$H:$H),0)+IFERROR(VLOOKUP($C78,Week1_Team!$B:$K,10,FALSE()),0),1)</f>
        <v>95</v>
      </c>
      <c r="F78" s="5">
        <f>ROUND(IFERROR(AVERAGEIF(Week2_Individual!$B:$B,$C78,Week2_Individual!$H:$H),0)+IFERROR(VLOOKUP($C78,Week2_Team!$B:$K,10,FALSE()),0),1)</f>
        <v>120</v>
      </c>
      <c r="G78" s="5">
        <f>ROUND(IFERROR(AVERAGEIF(Week3_Individual!$B:$B,$C78,Week3_Individual!$H:$H),0)+IFERROR(VLOOKUP($C78,Week3_Team!$B:$K,10,FALSE()),0),1)</f>
        <v>220</v>
      </c>
      <c r="H78" s="5">
        <f>ROUND(IFERROR(AVERAGEIF(Week4_Individual!$B:$B,$C78,Week4_Individual!$H:$H),0)+IFERROR(VLOOKUP($C78,Week4_Team!$B:$K,10,FALSE()),0),1)</f>
        <v>335</v>
      </c>
      <c r="I78" s="5">
        <f>ROUND(IFERROR(AVERAGEIF(Week5_Individual!$B:$B,$C78,Week5_Individual!$H:$H),0)+IFERROR(VLOOKUP($C78,Week5_Team!$B:$K,10,FALSE()),0),1)</f>
        <v>0</v>
      </c>
      <c r="J78" s="8">
        <v>0.0</v>
      </c>
      <c r="K78" s="9">
        <f t="shared" si="2"/>
        <v>770</v>
      </c>
    </row>
    <row r="79" ht="15.75" customHeight="1">
      <c r="A79" s="6">
        <f t="shared" si="1"/>
        <v>9</v>
      </c>
      <c r="B79" s="7" t="s">
        <v>237</v>
      </c>
      <c r="C79" s="7" t="s">
        <v>238</v>
      </c>
      <c r="D79" s="7" t="s">
        <v>81</v>
      </c>
      <c r="E79" s="5">
        <f>ROUND(IFERROR(AVERAGEIF(Week1_Individual!$B:$B,$C79,Week1_Individual!$H:$H),0)+IFERROR(VLOOKUP($C79,Week1_Team!$B:$K,10,FALSE()),0),1)</f>
        <v>55</v>
      </c>
      <c r="F79" s="5">
        <f>ROUND(IFERROR(AVERAGEIF(Week2_Individual!$B:$B,$C79,Week2_Individual!$H:$H),0)+IFERROR(VLOOKUP($C79,Week2_Team!$B:$K,10,FALSE()),0),1)</f>
        <v>175</v>
      </c>
      <c r="G79" s="5">
        <f>ROUND(IFERROR(AVERAGEIF(Week3_Individual!$B:$B,$C79,Week3_Individual!$H:$H),0)+IFERROR(VLOOKUP($C79,Week3_Team!$B:$K,10,FALSE()),0),1)</f>
        <v>125</v>
      </c>
      <c r="H79" s="5">
        <f>ROUND(IFERROR(AVERAGEIF(Week4_Individual!$B:$B,$C79,Week4_Individual!$H:$H),0)+IFERROR(VLOOKUP($C79,Week4_Team!$B:$K,10,FALSE()),0),1)</f>
        <v>200</v>
      </c>
      <c r="I79" s="5">
        <f>ROUND(IFERROR(AVERAGEIF(Week5_Individual!$B:$B,$C79,Week5_Individual!$H:$H),0)+IFERROR(VLOOKUP($C79,Week5_Team!$B:$K,10,FALSE()),0),1)</f>
        <v>0</v>
      </c>
      <c r="J79" s="8">
        <v>0.0</v>
      </c>
      <c r="K79" s="9">
        <f t="shared" si="2"/>
        <v>555</v>
      </c>
    </row>
    <row r="80" ht="15.75" customHeight="1">
      <c r="A80" s="6">
        <f t="shared" si="1"/>
        <v>47</v>
      </c>
      <c r="B80" s="7" t="s">
        <v>239</v>
      </c>
      <c r="C80" s="7" t="s">
        <v>240</v>
      </c>
      <c r="D80" s="7" t="s">
        <v>81</v>
      </c>
      <c r="E80" s="5">
        <f>ROUND(IFERROR(AVERAGEIF(Week1_Individual!$B:$B,$C80,Week1_Individual!$H:$H),0)+IFERROR(VLOOKUP($C80,Week1_Team!$B:$K,10,FALSE()),0),1)</f>
        <v>0</v>
      </c>
      <c r="F80" s="5">
        <f>ROUND(IFERROR(AVERAGEIF(Week2_Individual!$B:$B,$C80,Week2_Individual!$H:$H),0)+IFERROR(VLOOKUP($C80,Week2_Team!$B:$K,10,FALSE()),0),1)</f>
        <v>0</v>
      </c>
      <c r="G80" s="5">
        <f>ROUND(IFERROR(AVERAGEIF(Week3_Individual!$B:$B,$C80,Week3_Individual!$H:$H),0)+IFERROR(VLOOKUP($C80,Week3_Team!$B:$K,10,FALSE()),0),1)</f>
        <v>0</v>
      </c>
      <c r="H80" s="5">
        <f>ROUND(IFERROR(AVERAGEIF(Week4_Individual!$B:$B,$C80,Week4_Individual!$H:$H),0)+IFERROR(VLOOKUP($C80,Week4_Team!$B:$K,10,FALSE()),0),1)</f>
        <v>0</v>
      </c>
      <c r="I80" s="5">
        <f>ROUND(IFERROR(AVERAGEIF(Week5_Individual!$B:$B,$C80,Week5_Individual!$H:$H),0)+IFERROR(VLOOKUP($C80,Week5_Team!$B:$K,10,FALSE()),0),1)</f>
        <v>0</v>
      </c>
      <c r="J80" s="8">
        <v>0.0</v>
      </c>
      <c r="K80" s="9">
        <f t="shared" si="2"/>
        <v>0</v>
      </c>
    </row>
    <row r="81" ht="15.75" customHeight="1">
      <c r="A81" s="6">
        <f t="shared" si="1"/>
        <v>16</v>
      </c>
      <c r="B81" s="7" t="s">
        <v>241</v>
      </c>
      <c r="C81" s="7" t="s">
        <v>242</v>
      </c>
      <c r="D81" s="7" t="s">
        <v>95</v>
      </c>
      <c r="E81" s="5">
        <f>ROUND(IFERROR(AVERAGEIF(Week1_Individual!$B:$B,$C81,Week1_Individual!$H:$H),0)+IFERROR(VLOOKUP($C81,Week1_Team!$B:$K,10,FALSE()),0),1)</f>
        <v>55</v>
      </c>
      <c r="F81" s="5">
        <f>ROUND(IFERROR(AVERAGEIF(Week2_Individual!$B:$B,$C81,Week2_Individual!$H:$H),0)+IFERROR(VLOOKUP($C81,Week2_Team!$B:$K,10,FALSE()),0),1)</f>
        <v>90</v>
      </c>
      <c r="G81" s="5">
        <f>ROUND(IFERROR(AVERAGEIF(Week3_Individual!$B:$B,$C81,Week3_Individual!$H:$H),0)+IFERROR(VLOOKUP($C81,Week3_Team!$B:$K,10,FALSE()),0),1)</f>
        <v>85</v>
      </c>
      <c r="H81" s="5">
        <f>ROUND(IFERROR(AVERAGEIF(Week4_Individual!$B:$B,$C81,Week4_Individual!$H:$H),0)+IFERROR(VLOOKUP($C81,Week4_Team!$B:$K,10,FALSE()),0),1)</f>
        <v>70</v>
      </c>
      <c r="I81" s="5">
        <f>ROUND(IFERROR(AVERAGEIF(Week5_Individual!$B:$B,$C81,Week5_Individual!$H:$H),0)+IFERROR(VLOOKUP($C81,Week5_Team!$B:$K,10,FALSE()),0),1)</f>
        <v>0</v>
      </c>
      <c r="J81" s="8">
        <v>0.0</v>
      </c>
      <c r="K81" s="9">
        <f t="shared" si="2"/>
        <v>300</v>
      </c>
    </row>
    <row r="82" ht="15.75" customHeight="1">
      <c r="A82" s="6">
        <f t="shared" si="1"/>
        <v>47</v>
      </c>
      <c r="B82" s="7" t="s">
        <v>243</v>
      </c>
      <c r="C82" s="16" t="s">
        <v>244</v>
      </c>
      <c r="D82" s="7" t="s">
        <v>86</v>
      </c>
      <c r="E82" s="5">
        <f>ROUND(IFERROR(AVERAGEIF(Week1_Individual!$B:$B,$C82,Week1_Individual!$H:$H),0)+IFERROR(VLOOKUP($C82,Week1_Team!$B:$K,10,FALSE()),0),1)</f>
        <v>0</v>
      </c>
      <c r="F82" s="5">
        <f>ROUND(IFERROR(AVERAGEIF(Week2_Individual!$B:$B,$C82,Week2_Individual!$H:$H),0)+IFERROR(VLOOKUP($C82,Week2_Team!$B:$K,10,FALSE()),0),1)</f>
        <v>0</v>
      </c>
      <c r="G82" s="5">
        <f>ROUND(IFERROR(AVERAGEIF(Week3_Individual!$B:$B,$C82,Week3_Individual!$H:$H),0)+IFERROR(VLOOKUP($C82,Week3_Team!$B:$K,10,FALSE()),0),1)</f>
        <v>0</v>
      </c>
      <c r="H82" s="5">
        <f>ROUND(IFERROR(AVERAGEIF(Week4_Individual!$B:$B,$C82,Week4_Individual!$H:$H),0)+IFERROR(VLOOKUP($C82,Week4_Team!$B:$K,10,FALSE()),0),1)</f>
        <v>0</v>
      </c>
      <c r="I82" s="5">
        <f>ROUND(IFERROR(AVERAGEIF(Week5_Individual!$B:$B,$C82,Week5_Individual!$H:$H),0)+IFERROR(VLOOKUP($C82,Week5_Team!$B:$K,10,FALSE()),0),1)</f>
        <v>0</v>
      </c>
      <c r="J82" s="8">
        <v>0.0</v>
      </c>
      <c r="K82" s="9">
        <f t="shared" si="2"/>
        <v>0</v>
      </c>
    </row>
    <row r="83" ht="15.75" customHeight="1">
      <c r="A83" s="6">
        <f t="shared" si="1"/>
        <v>18</v>
      </c>
      <c r="B83" s="7" t="s">
        <v>245</v>
      </c>
      <c r="C83" s="7" t="s">
        <v>246</v>
      </c>
      <c r="D83" s="7" t="s">
        <v>81</v>
      </c>
      <c r="E83" s="5">
        <f>ROUND(IFERROR(AVERAGEIF(Week1_Individual!$B:$B,$C83,Week1_Individual!$H:$H),0)+IFERROR(VLOOKUP($C83,Week1_Team!$B:$K,10,FALSE()),0),1)</f>
        <v>25</v>
      </c>
      <c r="F83" s="5">
        <f>ROUND(IFERROR(AVERAGEIF(Week2_Individual!$B:$B,$C83,Week2_Individual!$H:$H),0)+IFERROR(VLOOKUP($C83,Week2_Team!$B:$K,10,FALSE()),0),1)</f>
        <v>100</v>
      </c>
      <c r="G83" s="5">
        <f>ROUND(IFERROR(AVERAGEIF(Week3_Individual!$B:$B,$C83,Week3_Individual!$H:$H),0)+IFERROR(VLOOKUP($C83,Week3_Team!$B:$K,10,FALSE()),0),1)</f>
        <v>102.5</v>
      </c>
      <c r="H83" s="5">
        <f>ROUND(IFERROR(AVERAGEIF(Week4_Individual!$B:$B,$C83,Week4_Individual!$H:$H),0)+IFERROR(VLOOKUP($C83,Week4_Team!$B:$K,10,FALSE()),0),1)</f>
        <v>45</v>
      </c>
      <c r="I83" s="5">
        <f>ROUND(IFERROR(AVERAGEIF(Week5_Individual!$B:$B,$C83,Week5_Individual!$H:$H),0)+IFERROR(VLOOKUP($C83,Week5_Team!$B:$K,10,FALSE()),0),1)</f>
        <v>0</v>
      </c>
      <c r="J83" s="8">
        <v>0.0</v>
      </c>
      <c r="K83" s="9">
        <f t="shared" si="2"/>
        <v>272.5</v>
      </c>
    </row>
    <row r="84" ht="15.75" customHeight="1">
      <c r="A84" s="6">
        <f t="shared" si="1"/>
        <v>47</v>
      </c>
      <c r="B84" s="7" t="s">
        <v>247</v>
      </c>
      <c r="C84" s="16" t="s">
        <v>248</v>
      </c>
      <c r="D84" s="7" t="s">
        <v>86</v>
      </c>
      <c r="E84" s="5">
        <f>ROUND(IFERROR(AVERAGEIF(Week1_Individual!$B:$B,$C84,Week1_Individual!$H:$H),0)+IFERROR(VLOOKUP($C84,Week1_Team!$B:$K,10,FALSE()),0),1)</f>
        <v>0</v>
      </c>
      <c r="F84" s="5">
        <f>ROUND(IFERROR(AVERAGEIF(Week2_Individual!$B:$B,$C84,Week2_Individual!$H:$H),0)+IFERROR(VLOOKUP($C84,Week2_Team!$B:$K,10,FALSE()),0),1)</f>
        <v>0</v>
      </c>
      <c r="G84" s="5">
        <f>ROUND(IFERROR(AVERAGEIF(Week3_Individual!$B:$B,$C84,Week3_Individual!$H:$H),0)+IFERROR(VLOOKUP($C84,Week3_Team!$B:$K,10,FALSE()),0),1)</f>
        <v>0</v>
      </c>
      <c r="H84" s="5">
        <f>ROUND(IFERROR(AVERAGEIF(Week4_Individual!$B:$B,$C84,Week4_Individual!$H:$H),0)+IFERROR(VLOOKUP($C84,Week4_Team!$B:$K,10,FALSE()),0),1)</f>
        <v>0</v>
      </c>
      <c r="I84" s="5">
        <f>ROUND(IFERROR(AVERAGEIF(Week5_Individual!$B:$B,$C84,Week5_Individual!$H:$H),0)+IFERROR(VLOOKUP($C84,Week5_Team!$B:$K,10,FALSE()),0),1)</f>
        <v>0</v>
      </c>
      <c r="J84" s="8">
        <v>0.0</v>
      </c>
      <c r="K84" s="9">
        <f t="shared" si="2"/>
        <v>0</v>
      </c>
    </row>
    <row r="85" ht="15.75" customHeight="1">
      <c r="A85" s="6">
        <f t="shared" si="1"/>
        <v>15</v>
      </c>
      <c r="B85" s="7" t="s">
        <v>249</v>
      </c>
      <c r="C85" s="7" t="s">
        <v>250</v>
      </c>
      <c r="D85" s="7" t="s">
        <v>81</v>
      </c>
      <c r="E85" s="5">
        <f>ROUND(IFERROR(AVERAGEIF(Week1_Individual!$B:$B,$C85,Week1_Individual!$H:$H),0)+IFERROR(VLOOKUP($C85,Week1_Team!$B:$K,10,FALSE()),0),1)</f>
        <v>80</v>
      </c>
      <c r="F85" s="5">
        <f>ROUND(IFERROR(AVERAGEIF(Week2_Individual!$B:$B,$C85,Week2_Individual!$H:$H),0)+IFERROR(VLOOKUP($C85,Week2_Team!$B:$K,10,FALSE()),0),1)</f>
        <v>90</v>
      </c>
      <c r="G85" s="5">
        <f>ROUND(IFERROR(AVERAGEIF(Week3_Individual!$B:$B,$C85,Week3_Individual!$H:$H),0)+IFERROR(VLOOKUP($C85,Week3_Team!$B:$K,10,FALSE()),0),1)</f>
        <v>75</v>
      </c>
      <c r="H85" s="5">
        <f>ROUND(IFERROR(AVERAGEIF(Week4_Individual!$B:$B,$C85,Week4_Individual!$H:$H),0)+IFERROR(VLOOKUP($C85,Week4_Team!$B:$K,10,FALSE()),0),1)</f>
        <v>67.5</v>
      </c>
      <c r="I85" s="5">
        <f>ROUND(IFERROR(AVERAGEIF(Week5_Individual!$B:$B,$C85,Week5_Individual!$H:$H),0)+IFERROR(VLOOKUP($C85,Week5_Team!$B:$K,10,FALSE()),0),1)</f>
        <v>0</v>
      </c>
      <c r="J85" s="8">
        <v>0.0</v>
      </c>
      <c r="K85" s="9">
        <f t="shared" si="2"/>
        <v>312.5</v>
      </c>
    </row>
    <row r="86" ht="15.75" customHeight="1">
      <c r="A86" s="6">
        <f t="shared" si="1"/>
        <v>37</v>
      </c>
      <c r="B86" s="7" t="s">
        <v>251</v>
      </c>
      <c r="C86" s="7" t="s">
        <v>252</v>
      </c>
      <c r="D86" s="7" t="s">
        <v>81</v>
      </c>
      <c r="E86" s="5">
        <f>ROUND(IFERROR(AVERAGEIF(Week1_Individual!$B:$B,$C86,Week1_Individual!$H:$H),0)+IFERROR(VLOOKUP($C86,Week1_Team!$B:$K,10,FALSE()),0),1)</f>
        <v>10</v>
      </c>
      <c r="F86" s="5">
        <f>ROUND(IFERROR(AVERAGEIF(Week2_Individual!$B:$B,$C86,Week2_Individual!$H:$H),0)+IFERROR(VLOOKUP($C86,Week2_Team!$B:$K,10,FALSE()),0),1)</f>
        <v>0</v>
      </c>
      <c r="G86" s="5">
        <f>ROUND(IFERROR(AVERAGEIF(Week3_Individual!$B:$B,$C86,Week3_Individual!$H:$H),0)+IFERROR(VLOOKUP($C86,Week3_Team!$B:$K,10,FALSE()),0),1)</f>
        <v>0</v>
      </c>
      <c r="H86" s="5">
        <f>ROUND(IFERROR(AVERAGEIF(Week4_Individual!$B:$B,$C86,Week4_Individual!$H:$H),0)+IFERROR(VLOOKUP($C86,Week4_Team!$B:$K,10,FALSE()),0),1)</f>
        <v>0</v>
      </c>
      <c r="I86" s="5">
        <f>ROUND(IFERROR(AVERAGEIF(Week5_Individual!$B:$B,$C86,Week5_Individual!$H:$H),0)+IFERROR(VLOOKUP($C86,Week5_Team!$B:$K,10,FALSE()),0),1)</f>
        <v>0</v>
      </c>
      <c r="J86" s="8">
        <v>0.0</v>
      </c>
      <c r="K86" s="9">
        <f t="shared" si="2"/>
        <v>10</v>
      </c>
    </row>
    <row r="87" ht="15.75" customHeight="1">
      <c r="A87" s="6">
        <f t="shared" si="1"/>
        <v>23</v>
      </c>
      <c r="B87" s="7" t="s">
        <v>253</v>
      </c>
      <c r="C87" s="7" t="s">
        <v>254</v>
      </c>
      <c r="D87" s="7" t="s">
        <v>255</v>
      </c>
      <c r="E87" s="5">
        <f>ROUND(IFERROR(AVERAGEIF(Week1_Individual!$B:$B,$C87,Week1_Individual!$H:$H),0)+IFERROR(VLOOKUP($C87,Week1_Team!$B:$K,10,FALSE()),0),1)</f>
        <v>58.3</v>
      </c>
      <c r="F87" s="5">
        <f>ROUND(IFERROR(AVERAGEIF(Week2_Individual!$B:$B,$C87,Week2_Individual!$H:$H),0)+IFERROR(VLOOKUP($C87,Week2_Team!$B:$K,10,FALSE()),0),1)</f>
        <v>40</v>
      </c>
      <c r="G87" s="5">
        <f>ROUND(IFERROR(AVERAGEIF(Week3_Individual!$B:$B,$C87,Week3_Individual!$H:$H),0)+IFERROR(VLOOKUP($C87,Week3_Team!$B:$K,10,FALSE()),0),1)</f>
        <v>6.7</v>
      </c>
      <c r="H87" s="5">
        <f>ROUND(IFERROR(AVERAGEIF(Week4_Individual!$B:$B,$C87,Week4_Individual!$H:$H),0)+IFERROR(VLOOKUP($C87,Week4_Team!$B:$K,10,FALSE()),0),1)</f>
        <v>6.7</v>
      </c>
      <c r="I87" s="5">
        <f>ROUND(IFERROR(AVERAGEIF(Week5_Individual!$B:$B,$C87,Week5_Individual!$H:$H),0)+IFERROR(VLOOKUP($C87,Week5_Team!$B:$K,10,FALSE()),0),1)</f>
        <v>0</v>
      </c>
      <c r="J87" s="8">
        <v>0.0</v>
      </c>
      <c r="K87" s="9">
        <f t="shared" si="2"/>
        <v>111.7</v>
      </c>
    </row>
    <row r="88" ht="15.75" customHeight="1">
      <c r="A88" s="6">
        <f t="shared" si="1"/>
        <v>26</v>
      </c>
      <c r="B88" s="7" t="s">
        <v>256</v>
      </c>
      <c r="C88" s="7" t="s">
        <v>257</v>
      </c>
      <c r="D88" s="7" t="s">
        <v>166</v>
      </c>
      <c r="E88" s="5">
        <f>ROUND(IFERROR(AVERAGEIF(Week1_Individual!$B:$B,$C88,Week1_Individual!$H:$H),0)+IFERROR(VLOOKUP($C88,Week1_Team!$B:$K,10,FALSE()),0),1)</f>
        <v>30</v>
      </c>
      <c r="F88" s="5">
        <f>ROUND(IFERROR(AVERAGEIF(Week2_Individual!$B:$B,$C88,Week2_Individual!$H:$H),0)+IFERROR(VLOOKUP($C88,Week2_Team!$B:$K,10,FALSE()),0),1)</f>
        <v>25</v>
      </c>
      <c r="G88" s="5">
        <f>ROUND(IFERROR(AVERAGEIF(Week3_Individual!$B:$B,$C88,Week3_Individual!$H:$H),0)+IFERROR(VLOOKUP($C88,Week3_Team!$B:$K,10,FALSE()),0),1)</f>
        <v>0</v>
      </c>
      <c r="H88" s="5">
        <f>ROUND(IFERROR(AVERAGEIF(Week4_Individual!$B:$B,$C88,Week4_Individual!$H:$H),0)+IFERROR(VLOOKUP($C88,Week4_Team!$B:$K,10,FALSE()),0),1)</f>
        <v>0</v>
      </c>
      <c r="I88" s="5">
        <f>ROUND(IFERROR(AVERAGEIF(Week5_Individual!$B:$B,$C88,Week5_Individual!$H:$H),0)+IFERROR(VLOOKUP($C88,Week5_Team!$B:$K,10,FALSE()),0),1)</f>
        <v>0</v>
      </c>
      <c r="J88" s="8">
        <v>0.0</v>
      </c>
      <c r="K88" s="9">
        <f t="shared" si="2"/>
        <v>55</v>
      </c>
    </row>
    <row r="89" ht="15.75" customHeight="1">
      <c r="A89" s="6">
        <f t="shared" si="1"/>
        <v>36</v>
      </c>
      <c r="B89" s="7" t="s">
        <v>258</v>
      </c>
      <c r="C89" s="7" t="s">
        <v>259</v>
      </c>
      <c r="D89" s="7" t="s">
        <v>95</v>
      </c>
      <c r="E89" s="5">
        <f>ROUND(IFERROR(AVERAGEIF(Week1_Individual!$B:$B,$C89,Week1_Individual!$H:$H),0)+IFERROR(VLOOKUP($C89,Week1_Team!$B:$K,10,FALSE()),0),1)</f>
        <v>15</v>
      </c>
      <c r="F89" s="5">
        <f>ROUND(IFERROR(AVERAGEIF(Week2_Individual!$B:$B,$C89,Week2_Individual!$H:$H),0)+IFERROR(VLOOKUP($C89,Week2_Team!$B:$K,10,FALSE()),0),1)</f>
        <v>0</v>
      </c>
      <c r="G89" s="5">
        <f>ROUND(IFERROR(AVERAGEIF(Week3_Individual!$B:$B,$C89,Week3_Individual!$H:$H),0)+IFERROR(VLOOKUP($C89,Week3_Team!$B:$K,10,FALSE()),0),1)</f>
        <v>0</v>
      </c>
      <c r="H89" s="5">
        <f>ROUND(IFERROR(AVERAGEIF(Week4_Individual!$B:$B,$C89,Week4_Individual!$H:$H),0)+IFERROR(VLOOKUP($C89,Week4_Team!$B:$K,10,FALSE()),0),1)</f>
        <v>0</v>
      </c>
      <c r="I89" s="5">
        <f>ROUND(IFERROR(AVERAGEIF(Week5_Individual!$B:$B,$C89,Week5_Individual!$H:$H),0)+IFERROR(VLOOKUP($C89,Week5_Team!$B:$K,10,FALSE()),0),1)</f>
        <v>0</v>
      </c>
      <c r="J89" s="8">
        <v>0.0</v>
      </c>
      <c r="K89" s="9">
        <f t="shared" si="2"/>
        <v>15</v>
      </c>
    </row>
    <row r="90" ht="15.75" customHeight="1">
      <c r="A90" s="6">
        <f t="shared" si="1"/>
        <v>28</v>
      </c>
      <c r="B90" s="7" t="s">
        <v>260</v>
      </c>
      <c r="C90" s="7" t="s">
        <v>261</v>
      </c>
      <c r="D90" s="7" t="s">
        <v>166</v>
      </c>
      <c r="E90" s="5">
        <f>ROUND(IFERROR(AVERAGEIF(Week1_Individual!$B:$B,$C90,Week1_Individual!$H:$H),0)+IFERROR(VLOOKUP($C90,Week1_Team!$B:$K,10,FALSE()),0),1)</f>
        <v>17.5</v>
      </c>
      <c r="F90" s="5">
        <f>ROUND(IFERROR(AVERAGEIF(Week2_Individual!$B:$B,$C90,Week2_Individual!$H:$H),0)+IFERROR(VLOOKUP($C90,Week2_Team!$B:$K,10,FALSE()),0),1)</f>
        <v>17.5</v>
      </c>
      <c r="G90" s="5">
        <f>ROUND(IFERROR(AVERAGEIF(Week3_Individual!$B:$B,$C90,Week3_Individual!$H:$H),0)+IFERROR(VLOOKUP($C90,Week3_Team!$B:$K,10,FALSE()),0),1)</f>
        <v>0</v>
      </c>
      <c r="H90" s="5">
        <f>ROUND(IFERROR(AVERAGEIF(Week4_Individual!$B:$B,$C90,Week4_Individual!$H:$H),0)+IFERROR(VLOOKUP($C90,Week4_Team!$B:$K,10,FALSE()),0),1)</f>
        <v>0</v>
      </c>
      <c r="I90" s="5">
        <f>ROUND(IFERROR(AVERAGEIF(Week5_Individual!$B:$B,$C90,Week5_Individual!$H:$H),0)+IFERROR(VLOOKUP($C90,Week5_Team!$B:$K,10,FALSE()),0),1)</f>
        <v>0</v>
      </c>
      <c r="J90" s="8">
        <v>0.0</v>
      </c>
      <c r="K90" s="9">
        <f t="shared" si="2"/>
        <v>35</v>
      </c>
    </row>
    <row r="91" ht="15.75" customHeight="1">
      <c r="A91" s="6">
        <f t="shared" si="1"/>
        <v>47</v>
      </c>
      <c r="B91" s="7" t="s">
        <v>262</v>
      </c>
      <c r="C91" s="7" t="s">
        <v>263</v>
      </c>
      <c r="D91" s="7" t="s">
        <v>81</v>
      </c>
      <c r="E91" s="5">
        <f>ROUND(IFERROR(AVERAGEIF(Week1_Individual!$B:$B,$C91,Week1_Individual!$H:$H),0)+IFERROR(VLOOKUP($C91,Week1_Team!$B:$K,10,FALSE()),0),1)</f>
        <v>0</v>
      </c>
      <c r="F91" s="5">
        <f>ROUND(IFERROR(AVERAGEIF(Week2_Individual!$B:$B,$C91,Week2_Individual!$H:$H),0)+IFERROR(VLOOKUP($C91,Week2_Team!$B:$K,10,FALSE()),0),1)</f>
        <v>0</v>
      </c>
      <c r="G91" s="5">
        <f>ROUND(IFERROR(AVERAGEIF(Week3_Individual!$B:$B,$C91,Week3_Individual!$H:$H),0)+IFERROR(VLOOKUP($C91,Week3_Team!$B:$K,10,FALSE()),0),1)</f>
        <v>0</v>
      </c>
      <c r="H91" s="5">
        <f>ROUND(IFERROR(AVERAGEIF(Week4_Individual!$B:$B,$C91,Week4_Individual!$H:$H),0)+IFERROR(VLOOKUP($C91,Week4_Team!$B:$K,10,FALSE()),0),1)</f>
        <v>0</v>
      </c>
      <c r="I91" s="5">
        <f>ROUND(IFERROR(AVERAGEIF(Week5_Individual!$B:$B,$C91,Week5_Individual!$H:$H),0)+IFERROR(VLOOKUP($C91,Week5_Team!$B:$K,10,FALSE()),0),1)</f>
        <v>0</v>
      </c>
      <c r="J91" s="8">
        <v>0.0</v>
      </c>
      <c r="K91" s="9">
        <f t="shared" si="2"/>
        <v>0</v>
      </c>
    </row>
    <row r="92" ht="15.75" customHeight="1">
      <c r="A92" s="6">
        <f t="shared" si="1"/>
        <v>47</v>
      </c>
      <c r="B92" s="7" t="s">
        <v>264</v>
      </c>
      <c r="C92" s="7" t="s">
        <v>265</v>
      </c>
      <c r="D92" s="7" t="s">
        <v>81</v>
      </c>
      <c r="E92" s="5">
        <f>ROUND(IFERROR(AVERAGEIF(Week1_Individual!$B:$B,$C92,Week1_Individual!$H:$H),0)+IFERROR(VLOOKUP($C92,Week1_Team!$B:$K,10,FALSE()),0),1)</f>
        <v>0</v>
      </c>
      <c r="F92" s="5">
        <f>ROUND(IFERROR(AVERAGEIF(Week2_Individual!$B:$B,$C92,Week2_Individual!$H:$H),0)+IFERROR(VLOOKUP($C92,Week2_Team!$B:$K,10,FALSE()),0),1)</f>
        <v>0</v>
      </c>
      <c r="G92" s="5">
        <f>ROUND(IFERROR(AVERAGEIF(Week3_Individual!$B:$B,$C92,Week3_Individual!$H:$H),0)+IFERROR(VLOOKUP($C92,Week3_Team!$B:$K,10,FALSE()),0),1)</f>
        <v>0</v>
      </c>
      <c r="H92" s="5">
        <f>ROUND(IFERROR(AVERAGEIF(Week4_Individual!$B:$B,$C92,Week4_Individual!$H:$H),0)+IFERROR(VLOOKUP($C92,Week4_Team!$B:$K,10,FALSE()),0),1)</f>
        <v>0</v>
      </c>
      <c r="I92" s="5">
        <f>ROUND(IFERROR(AVERAGEIF(Week5_Individual!$B:$B,$C92,Week5_Individual!$H:$H),0)+IFERROR(VLOOKUP($C92,Week5_Team!$B:$K,10,FALSE()),0),1)</f>
        <v>0</v>
      </c>
      <c r="J92" s="8">
        <v>0.0</v>
      </c>
      <c r="K92" s="9">
        <f t="shared" si="2"/>
        <v>0</v>
      </c>
    </row>
    <row r="93" ht="15.75" customHeight="1">
      <c r="A93" s="6">
        <f t="shared" si="1"/>
        <v>3</v>
      </c>
      <c r="B93" s="7" t="s">
        <v>266</v>
      </c>
      <c r="C93" s="7" t="s">
        <v>267</v>
      </c>
      <c r="D93" s="7" t="s">
        <v>95</v>
      </c>
      <c r="E93" s="5">
        <f>ROUND(IFERROR(AVERAGEIF(Week1_Individual!$B:$B,$C93,Week1_Individual!$H:$H),0)+IFERROR(VLOOKUP($C93,Week1_Team!$B:$K,10,FALSE()),0),1)</f>
        <v>80</v>
      </c>
      <c r="F93" s="5">
        <f>ROUND(IFERROR(AVERAGEIF(Week2_Individual!$B:$B,$C93,Week2_Individual!$H:$H),0)+IFERROR(VLOOKUP($C93,Week2_Team!$B:$K,10,FALSE()),0),1)</f>
        <v>90</v>
      </c>
      <c r="G93" s="5">
        <f>ROUND(IFERROR(AVERAGEIF(Week3_Individual!$B:$B,$C93,Week3_Individual!$H:$H),0)+IFERROR(VLOOKUP($C93,Week3_Team!$B:$K,10,FALSE()),0),1)</f>
        <v>192.5</v>
      </c>
      <c r="H93" s="5">
        <f>ROUND(IFERROR(AVERAGEIF(Week4_Individual!$B:$B,$C93,Week4_Individual!$H:$H),0)+IFERROR(VLOOKUP($C93,Week4_Team!$B:$K,10,FALSE()),0),1)</f>
        <v>702.5</v>
      </c>
      <c r="I93" s="5">
        <f>ROUND(IFERROR(AVERAGEIF(Week5_Individual!$B:$B,$C93,Week5_Individual!$H:$H),0)+IFERROR(VLOOKUP($C93,Week5_Team!$B:$K,10,FALSE()),0),1)</f>
        <v>0</v>
      </c>
      <c r="J93" s="8">
        <v>0.0</v>
      </c>
      <c r="K93" s="9">
        <f t="shared" si="2"/>
        <v>1065</v>
      </c>
    </row>
    <row r="94" ht="15.75" customHeight="1">
      <c r="A94" s="6">
        <f t="shared" si="1"/>
        <v>47</v>
      </c>
      <c r="B94" s="7" t="s">
        <v>268</v>
      </c>
      <c r="C94" s="7" t="s">
        <v>269</v>
      </c>
      <c r="D94" s="7" t="s">
        <v>255</v>
      </c>
      <c r="E94" s="5">
        <f>ROUND(IFERROR(AVERAGEIF(Week1_Individual!$B:$B,$C94,Week1_Individual!$H:$H),0)+IFERROR(VLOOKUP($C94,Week1_Team!$B:$K,10,FALSE()),0),1)</f>
        <v>0</v>
      </c>
      <c r="F94" s="5">
        <f>ROUND(IFERROR(AVERAGEIF(Week2_Individual!$B:$B,$C94,Week2_Individual!$H:$H),0)+IFERROR(VLOOKUP($C94,Week2_Team!$B:$K,10,FALSE()),0),1)</f>
        <v>0</v>
      </c>
      <c r="G94" s="5">
        <f>ROUND(IFERROR(AVERAGEIF(Week3_Individual!$B:$B,$C94,Week3_Individual!$H:$H),0)+IFERROR(VLOOKUP($C94,Week3_Team!$B:$K,10,FALSE()),0),1)</f>
        <v>0</v>
      </c>
      <c r="H94" s="5">
        <f>ROUND(IFERROR(AVERAGEIF(Week4_Individual!$B:$B,$C94,Week4_Individual!$H:$H),0)+IFERROR(VLOOKUP($C94,Week4_Team!$B:$K,10,FALSE()),0),1)</f>
        <v>0</v>
      </c>
      <c r="I94" s="5">
        <f>ROUND(IFERROR(AVERAGEIF(Week5_Individual!$B:$B,$C94,Week5_Individual!$H:$H),0)+IFERROR(VLOOKUP($C94,Week5_Team!$B:$K,10,FALSE()),0),1)</f>
        <v>0</v>
      </c>
      <c r="J94" s="8">
        <v>0.0</v>
      </c>
      <c r="K94" s="9">
        <f t="shared" si="2"/>
        <v>0</v>
      </c>
    </row>
    <row r="95" ht="15.75" customHeight="1">
      <c r="A95" s="6">
        <f t="shared" si="1"/>
        <v>5</v>
      </c>
      <c r="B95" s="7" t="s">
        <v>270</v>
      </c>
      <c r="C95" s="7" t="s">
        <v>271</v>
      </c>
      <c r="D95" s="7" t="s">
        <v>166</v>
      </c>
      <c r="E95" s="5">
        <f>ROUND(IFERROR(AVERAGEIF(Week1_Individual!$B:$B,$C95,Week1_Individual!$H:$H),0)+IFERROR(VLOOKUP($C95,Week1_Team!$B:$K,10,FALSE()),0),1)</f>
        <v>75</v>
      </c>
      <c r="F95" s="5">
        <f>ROUND(IFERROR(AVERAGEIF(Week2_Individual!$B:$B,$C95,Week2_Individual!$H:$H),0)+IFERROR(VLOOKUP($C95,Week2_Team!$B:$K,10,FALSE()),0),1)</f>
        <v>70</v>
      </c>
      <c r="G95" s="5">
        <f>ROUND(IFERROR(AVERAGEIF(Week3_Individual!$B:$B,$C95,Week3_Individual!$H:$H),0)+IFERROR(VLOOKUP($C95,Week3_Team!$B:$K,10,FALSE()),0),1)</f>
        <v>125</v>
      </c>
      <c r="H95" s="5">
        <f>ROUND(IFERROR(AVERAGEIF(Week4_Individual!$B:$B,$C95,Week4_Individual!$H:$H),0)+IFERROR(VLOOKUP($C95,Week4_Team!$B:$K,10,FALSE()),0),1)</f>
        <v>485</v>
      </c>
      <c r="I95" s="5">
        <f>ROUND(IFERROR(AVERAGEIF(Week5_Individual!$B:$B,$C95,Week5_Individual!$H:$H),0)+IFERROR(VLOOKUP($C95,Week5_Team!$B:$K,10,FALSE()),0),1)</f>
        <v>0</v>
      </c>
      <c r="J95" s="8">
        <v>0.0</v>
      </c>
      <c r="K95" s="9">
        <f t="shared" si="2"/>
        <v>755</v>
      </c>
    </row>
    <row r="96" ht="15.75" customHeight="1">
      <c r="A96" s="6">
        <f t="shared" si="1"/>
        <v>32</v>
      </c>
      <c r="B96" s="7" t="s">
        <v>272</v>
      </c>
      <c r="C96" s="7" t="s">
        <v>273</v>
      </c>
      <c r="D96" s="7" t="s">
        <v>95</v>
      </c>
      <c r="E96" s="5">
        <f>ROUND(IFERROR(AVERAGEIF(Week1_Individual!$B:$B,$C96,Week1_Individual!$H:$H),0)+IFERROR(VLOOKUP($C96,Week1_Team!$B:$K,10,FALSE()),0),1)</f>
        <v>10</v>
      </c>
      <c r="F96" s="5">
        <f>ROUND(IFERROR(AVERAGEIF(Week2_Individual!$B:$B,$C96,Week2_Individual!$H:$H),0)+IFERROR(VLOOKUP($C96,Week2_Team!$B:$K,10,FALSE()),0),1)</f>
        <v>18.8</v>
      </c>
      <c r="G96" s="5">
        <f>ROUND(IFERROR(AVERAGEIF(Week3_Individual!$B:$B,$C96,Week3_Individual!$H:$H),0)+IFERROR(VLOOKUP($C96,Week3_Team!$B:$K,10,FALSE()),0),1)</f>
        <v>0</v>
      </c>
      <c r="H96" s="5">
        <f>ROUND(IFERROR(AVERAGEIF(Week4_Individual!$B:$B,$C96,Week4_Individual!$H:$H),0)+IFERROR(VLOOKUP($C96,Week4_Team!$B:$K,10,FALSE()),0),1)</f>
        <v>0</v>
      </c>
      <c r="I96" s="5">
        <f>ROUND(IFERROR(AVERAGEIF(Week5_Individual!$B:$B,$C96,Week5_Individual!$H:$H),0)+IFERROR(VLOOKUP($C96,Week5_Team!$B:$K,10,FALSE()),0),1)</f>
        <v>0</v>
      </c>
      <c r="J96" s="8">
        <v>0.0</v>
      </c>
      <c r="K96" s="9">
        <f t="shared" si="2"/>
        <v>28.8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96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20.0"/>
    <col customWidth="1" min="4" max="4" width="11.0"/>
    <col customWidth="1" min="5" max="26" width="8.71"/>
  </cols>
  <sheetData>
    <row r="1">
      <c r="A1" s="3" t="s">
        <v>69</v>
      </c>
      <c r="B1" s="3" t="s">
        <v>70</v>
      </c>
      <c r="C1" s="3" t="s">
        <v>71</v>
      </c>
      <c r="D1" s="3" t="s">
        <v>274</v>
      </c>
    </row>
    <row r="2">
      <c r="A2" s="7" t="s">
        <v>79</v>
      </c>
      <c r="B2" s="7" t="s">
        <v>80</v>
      </c>
      <c r="C2" s="7" t="s">
        <v>81</v>
      </c>
      <c r="D2" s="5">
        <v>4.0</v>
      </c>
    </row>
    <row r="3">
      <c r="A3" s="7" t="s">
        <v>82</v>
      </c>
      <c r="B3" s="7" t="s">
        <v>83</v>
      </c>
      <c r="C3" s="7" t="s">
        <v>81</v>
      </c>
      <c r="D3" s="5">
        <v>2.0</v>
      </c>
    </row>
    <row r="4">
      <c r="A4" s="7" t="s">
        <v>84</v>
      </c>
      <c r="B4" s="7" t="s">
        <v>85</v>
      </c>
      <c r="C4" s="7" t="s">
        <v>86</v>
      </c>
      <c r="D4" s="5">
        <v>2.0</v>
      </c>
    </row>
    <row r="5">
      <c r="A5" s="7" t="s">
        <v>87</v>
      </c>
      <c r="B5" s="7" t="s">
        <v>88</v>
      </c>
      <c r="C5" s="7" t="s">
        <v>81</v>
      </c>
      <c r="D5" s="5">
        <v>2.0</v>
      </c>
    </row>
    <row r="6">
      <c r="A6" s="7" t="s">
        <v>89</v>
      </c>
      <c r="B6" s="7" t="s">
        <v>90</v>
      </c>
      <c r="C6" s="7" t="s">
        <v>81</v>
      </c>
      <c r="D6" s="5">
        <v>2.0</v>
      </c>
    </row>
    <row r="7">
      <c r="A7" s="7" t="s">
        <v>91</v>
      </c>
      <c r="B7" s="7" t="s">
        <v>92</v>
      </c>
      <c r="C7" s="7" t="s">
        <v>81</v>
      </c>
      <c r="D7" s="5">
        <v>2.0</v>
      </c>
    </row>
    <row r="8">
      <c r="A8" s="7" t="s">
        <v>93</v>
      </c>
      <c r="B8" s="7" t="s">
        <v>94</v>
      </c>
      <c r="C8" s="7" t="s">
        <v>95</v>
      </c>
      <c r="D8" s="5">
        <v>4.0</v>
      </c>
    </row>
    <row r="9">
      <c r="A9" s="7" t="s">
        <v>96</v>
      </c>
      <c r="B9" s="7" t="s">
        <v>97</v>
      </c>
      <c r="C9" s="7" t="s">
        <v>81</v>
      </c>
      <c r="D9" s="5">
        <v>3.0</v>
      </c>
    </row>
    <row r="10">
      <c r="A10" s="7" t="s">
        <v>98</v>
      </c>
      <c r="B10" s="7" t="s">
        <v>99</v>
      </c>
      <c r="C10" s="7" t="s">
        <v>95</v>
      </c>
      <c r="D10" s="5">
        <v>2.0</v>
      </c>
    </row>
    <row r="11">
      <c r="A11" s="7" t="s">
        <v>100</v>
      </c>
      <c r="B11" s="7" t="s">
        <v>101</v>
      </c>
      <c r="C11" s="7" t="s">
        <v>95</v>
      </c>
      <c r="D11" s="5">
        <v>4.0</v>
      </c>
    </row>
    <row r="12">
      <c r="A12" s="7" t="s">
        <v>102</v>
      </c>
      <c r="B12" s="7" t="s">
        <v>103</v>
      </c>
      <c r="C12" s="7" t="s">
        <v>81</v>
      </c>
      <c r="D12" s="5">
        <v>4.0</v>
      </c>
    </row>
    <row r="13">
      <c r="A13" s="7" t="s">
        <v>104</v>
      </c>
      <c r="B13" s="7" t="s">
        <v>105</v>
      </c>
      <c r="C13" s="7" t="s">
        <v>95</v>
      </c>
      <c r="D13" s="5">
        <v>2.0</v>
      </c>
    </row>
    <row r="14">
      <c r="A14" s="7" t="s">
        <v>106</v>
      </c>
      <c r="B14" s="7" t="s">
        <v>107</v>
      </c>
      <c r="C14" s="7" t="s">
        <v>81</v>
      </c>
      <c r="D14" s="5">
        <v>3.0</v>
      </c>
    </row>
    <row r="15">
      <c r="A15" s="7" t="s">
        <v>108</v>
      </c>
      <c r="B15" s="7" t="s">
        <v>109</v>
      </c>
      <c r="C15" s="7" t="s">
        <v>81</v>
      </c>
      <c r="D15" s="5">
        <v>2.0</v>
      </c>
    </row>
    <row r="16">
      <c r="A16" s="7" t="s">
        <v>110</v>
      </c>
      <c r="B16" s="7" t="s">
        <v>111</v>
      </c>
      <c r="C16" s="7" t="s">
        <v>95</v>
      </c>
      <c r="D16" s="5">
        <v>3.0</v>
      </c>
    </row>
    <row r="17">
      <c r="A17" s="7" t="s">
        <v>112</v>
      </c>
      <c r="B17" s="7" t="s">
        <v>113</v>
      </c>
      <c r="C17" s="7" t="s">
        <v>86</v>
      </c>
      <c r="D17" s="5">
        <v>3.0</v>
      </c>
    </row>
    <row r="18">
      <c r="A18" s="7" t="s">
        <v>114</v>
      </c>
      <c r="B18" s="7" t="s">
        <v>115</v>
      </c>
      <c r="C18" s="7" t="s">
        <v>95</v>
      </c>
      <c r="D18" s="5">
        <v>3.0</v>
      </c>
    </row>
    <row r="19">
      <c r="A19" s="7" t="s">
        <v>116</v>
      </c>
      <c r="B19" s="7" t="s">
        <v>117</v>
      </c>
      <c r="C19" s="7" t="s">
        <v>81</v>
      </c>
      <c r="D19" s="5">
        <v>2.0</v>
      </c>
    </row>
    <row r="20">
      <c r="A20" s="7" t="s">
        <v>118</v>
      </c>
      <c r="B20" s="7" t="s">
        <v>119</v>
      </c>
      <c r="C20" s="7" t="s">
        <v>81</v>
      </c>
      <c r="D20" s="5">
        <v>2.0</v>
      </c>
    </row>
    <row r="21" ht="15.75" customHeight="1">
      <c r="A21" s="7" t="s">
        <v>120</v>
      </c>
      <c r="B21" s="7" t="s">
        <v>121</v>
      </c>
      <c r="C21" s="7" t="s">
        <v>95</v>
      </c>
      <c r="D21" s="5">
        <v>3.0</v>
      </c>
    </row>
    <row r="22" ht="15.75" customHeight="1">
      <c r="A22" s="7" t="s">
        <v>122</v>
      </c>
      <c r="B22" s="7" t="s">
        <v>123</v>
      </c>
      <c r="C22" s="7" t="s">
        <v>81</v>
      </c>
      <c r="D22" s="5">
        <v>1.0</v>
      </c>
    </row>
    <row r="23" ht="15.75" customHeight="1">
      <c r="A23" s="7" t="s">
        <v>124</v>
      </c>
      <c r="B23" s="7" t="s">
        <v>125</v>
      </c>
      <c r="C23" s="7" t="s">
        <v>81</v>
      </c>
      <c r="D23" s="5">
        <v>2.0</v>
      </c>
    </row>
    <row r="24" ht="15.75" customHeight="1">
      <c r="A24" s="7" t="s">
        <v>126</v>
      </c>
      <c r="B24" s="7" t="s">
        <v>127</v>
      </c>
      <c r="C24" s="7" t="s">
        <v>81</v>
      </c>
      <c r="D24" s="5">
        <v>2.0</v>
      </c>
    </row>
    <row r="25" ht="15.75" customHeight="1">
      <c r="A25" s="7" t="s">
        <v>128</v>
      </c>
      <c r="B25" s="7" t="s">
        <v>129</v>
      </c>
      <c r="C25" s="7" t="s">
        <v>95</v>
      </c>
      <c r="D25" s="5">
        <v>1.0</v>
      </c>
    </row>
    <row r="26" ht="15.75" customHeight="1">
      <c r="A26" s="7" t="s">
        <v>130</v>
      </c>
      <c r="B26" s="7" t="s">
        <v>131</v>
      </c>
      <c r="C26" s="7" t="s">
        <v>86</v>
      </c>
      <c r="D26" s="5">
        <v>1.0</v>
      </c>
    </row>
    <row r="27" ht="15.75" customHeight="1">
      <c r="A27" s="7" t="s">
        <v>132</v>
      </c>
      <c r="B27" s="7" t="s">
        <v>133</v>
      </c>
      <c r="C27" s="7" t="s">
        <v>86</v>
      </c>
      <c r="D27" s="5">
        <v>1.0</v>
      </c>
    </row>
    <row r="28" ht="15.75" customHeight="1">
      <c r="A28" s="7" t="s">
        <v>134</v>
      </c>
      <c r="B28" s="7" t="s">
        <v>135</v>
      </c>
      <c r="C28" s="7" t="s">
        <v>86</v>
      </c>
      <c r="D28" s="5">
        <v>1.0</v>
      </c>
    </row>
    <row r="29" ht="15.75" customHeight="1">
      <c r="A29" s="7" t="s">
        <v>136</v>
      </c>
      <c r="B29" s="7" t="s">
        <v>137</v>
      </c>
      <c r="C29" s="7" t="s">
        <v>86</v>
      </c>
      <c r="D29" s="5">
        <v>1.0</v>
      </c>
    </row>
    <row r="30" ht="15.75" customHeight="1">
      <c r="A30" s="7" t="s">
        <v>138</v>
      </c>
      <c r="B30" s="7" t="s">
        <v>139</v>
      </c>
      <c r="C30" s="7" t="s">
        <v>81</v>
      </c>
      <c r="D30" s="5">
        <v>2.0</v>
      </c>
    </row>
    <row r="31" ht="15.75" customHeight="1">
      <c r="A31" s="7" t="s">
        <v>140</v>
      </c>
      <c r="B31" s="7" t="s">
        <v>141</v>
      </c>
      <c r="C31" s="7" t="s">
        <v>81</v>
      </c>
      <c r="D31" s="5">
        <v>2.0</v>
      </c>
    </row>
    <row r="32" ht="15.75" customHeight="1">
      <c r="A32" s="7" t="s">
        <v>142</v>
      </c>
      <c r="B32" s="7" t="s">
        <v>143</v>
      </c>
      <c r="C32" s="7" t="s">
        <v>86</v>
      </c>
      <c r="D32" s="5">
        <v>1.0</v>
      </c>
    </row>
    <row r="33" ht="15.75" customHeight="1">
      <c r="A33" s="7" t="s">
        <v>144</v>
      </c>
      <c r="B33" s="7" t="s">
        <v>145</v>
      </c>
      <c r="C33" s="7" t="s">
        <v>95</v>
      </c>
      <c r="D33" s="5">
        <v>1.0</v>
      </c>
    </row>
    <row r="34" ht="15.75" customHeight="1">
      <c r="A34" s="7" t="s">
        <v>146</v>
      </c>
      <c r="B34" s="7" t="s">
        <v>147</v>
      </c>
      <c r="C34" s="7" t="s">
        <v>81</v>
      </c>
      <c r="D34" s="5">
        <v>2.0</v>
      </c>
    </row>
    <row r="35" ht="15.75" customHeight="1">
      <c r="A35" s="7" t="s">
        <v>148</v>
      </c>
      <c r="B35" s="7" t="s">
        <v>149</v>
      </c>
      <c r="C35" s="7" t="s">
        <v>81</v>
      </c>
      <c r="D35" s="5">
        <v>2.0</v>
      </c>
    </row>
    <row r="36" ht="15.75" customHeight="1">
      <c r="A36" s="7" t="s">
        <v>150</v>
      </c>
      <c r="B36" s="7" t="s">
        <v>151</v>
      </c>
      <c r="C36" s="7" t="s">
        <v>81</v>
      </c>
      <c r="D36" s="5">
        <v>3.0</v>
      </c>
    </row>
    <row r="37" ht="15.75" customHeight="1">
      <c r="A37" s="7" t="s">
        <v>152</v>
      </c>
      <c r="B37" s="7" t="s">
        <v>153</v>
      </c>
      <c r="C37" s="7" t="s">
        <v>95</v>
      </c>
      <c r="D37" s="5">
        <v>1.0</v>
      </c>
    </row>
    <row r="38" ht="15.75" customHeight="1">
      <c r="A38" s="7" t="s">
        <v>154</v>
      </c>
      <c r="B38" s="7" t="s">
        <v>155</v>
      </c>
      <c r="C38" s="7" t="s">
        <v>95</v>
      </c>
      <c r="D38" s="5">
        <v>3.0</v>
      </c>
    </row>
    <row r="39" ht="15.75" customHeight="1">
      <c r="A39" s="7" t="s">
        <v>156</v>
      </c>
      <c r="B39" s="7" t="s">
        <v>157</v>
      </c>
      <c r="C39" s="7" t="s">
        <v>95</v>
      </c>
      <c r="D39" s="5">
        <v>2.0</v>
      </c>
    </row>
    <row r="40" ht="15.75" customHeight="1">
      <c r="A40" s="7" t="s">
        <v>158</v>
      </c>
      <c r="B40" s="7" t="s">
        <v>159</v>
      </c>
      <c r="C40" s="7" t="s">
        <v>81</v>
      </c>
      <c r="D40" s="5">
        <v>2.0</v>
      </c>
    </row>
    <row r="41" ht="15.75" customHeight="1">
      <c r="A41" s="7" t="s">
        <v>160</v>
      </c>
      <c r="B41" s="7" t="s">
        <v>161</v>
      </c>
      <c r="C41" s="7" t="s">
        <v>95</v>
      </c>
      <c r="D41" s="5">
        <v>2.0</v>
      </c>
    </row>
    <row r="42" ht="15.75" customHeight="1">
      <c r="A42" s="7" t="s">
        <v>162</v>
      </c>
      <c r="B42" s="7" t="s">
        <v>163</v>
      </c>
      <c r="C42" s="7" t="s">
        <v>86</v>
      </c>
      <c r="D42" s="5">
        <v>1.0</v>
      </c>
    </row>
    <row r="43" ht="15.75" customHeight="1">
      <c r="A43" s="7" t="s">
        <v>164</v>
      </c>
      <c r="B43" s="7" t="s">
        <v>165</v>
      </c>
      <c r="C43" s="7" t="s">
        <v>166</v>
      </c>
      <c r="D43" s="5">
        <v>3.0</v>
      </c>
    </row>
    <row r="44" ht="15.75" customHeight="1">
      <c r="A44" s="7" t="s">
        <v>167</v>
      </c>
      <c r="B44" s="7" t="s">
        <v>168</v>
      </c>
      <c r="C44" s="7" t="s">
        <v>81</v>
      </c>
      <c r="D44" s="5">
        <v>2.0</v>
      </c>
    </row>
    <row r="45" ht="15.75" customHeight="1">
      <c r="A45" s="7" t="s">
        <v>169</v>
      </c>
      <c r="B45" s="7" t="s">
        <v>170</v>
      </c>
      <c r="C45" s="7" t="s">
        <v>95</v>
      </c>
      <c r="D45" s="5">
        <v>2.0</v>
      </c>
    </row>
    <row r="46" ht="15.75" customHeight="1">
      <c r="A46" s="7" t="s">
        <v>171</v>
      </c>
      <c r="B46" s="7" t="s">
        <v>172</v>
      </c>
      <c r="C46" s="7" t="s">
        <v>86</v>
      </c>
      <c r="D46" s="5">
        <v>1.0</v>
      </c>
    </row>
    <row r="47" ht="15.75" customHeight="1">
      <c r="A47" s="7" t="s">
        <v>173</v>
      </c>
      <c r="B47" s="7" t="s">
        <v>174</v>
      </c>
      <c r="C47" s="17" t="s">
        <v>95</v>
      </c>
      <c r="D47" s="5">
        <v>3.0</v>
      </c>
    </row>
    <row r="48" ht="15.75" customHeight="1">
      <c r="A48" s="7" t="s">
        <v>175</v>
      </c>
      <c r="B48" s="7" t="s">
        <v>176</v>
      </c>
      <c r="C48" s="7" t="s">
        <v>81</v>
      </c>
      <c r="D48" s="5">
        <v>3.0</v>
      </c>
    </row>
    <row r="49" ht="15.75" customHeight="1">
      <c r="A49" s="7" t="s">
        <v>177</v>
      </c>
      <c r="B49" s="7" t="s">
        <v>178</v>
      </c>
      <c r="C49" s="7" t="s">
        <v>81</v>
      </c>
      <c r="D49" s="5">
        <v>2.0</v>
      </c>
    </row>
    <row r="50" ht="15.75" customHeight="1">
      <c r="A50" s="7" t="s">
        <v>179</v>
      </c>
      <c r="B50" s="7" t="s">
        <v>180</v>
      </c>
      <c r="C50" s="7" t="s">
        <v>95</v>
      </c>
      <c r="D50" s="5">
        <v>4.0</v>
      </c>
    </row>
    <row r="51" ht="15.75" customHeight="1">
      <c r="A51" s="7" t="s">
        <v>181</v>
      </c>
      <c r="B51" s="7" t="s">
        <v>182</v>
      </c>
      <c r="C51" s="7" t="s">
        <v>95</v>
      </c>
      <c r="D51" s="5">
        <v>2.0</v>
      </c>
    </row>
    <row r="52" ht="15.75" customHeight="1">
      <c r="A52" s="7" t="s">
        <v>183</v>
      </c>
      <c r="B52" s="7" t="s">
        <v>184</v>
      </c>
      <c r="C52" s="7" t="s">
        <v>166</v>
      </c>
      <c r="D52" s="5">
        <v>2.0</v>
      </c>
    </row>
    <row r="53" ht="15.75" customHeight="1">
      <c r="A53" s="7" t="s">
        <v>185</v>
      </c>
      <c r="B53" s="7" t="s">
        <v>186</v>
      </c>
      <c r="C53" s="7" t="s">
        <v>81</v>
      </c>
      <c r="D53" s="5">
        <v>3.0</v>
      </c>
    </row>
    <row r="54" ht="15.75" customHeight="1">
      <c r="A54" s="7" t="s">
        <v>187</v>
      </c>
      <c r="B54" s="7" t="s">
        <v>188</v>
      </c>
      <c r="C54" s="7" t="s">
        <v>166</v>
      </c>
      <c r="D54" s="5">
        <v>3.0</v>
      </c>
    </row>
    <row r="55" ht="15.75" customHeight="1">
      <c r="A55" s="7" t="s">
        <v>189</v>
      </c>
      <c r="B55" s="7" t="s">
        <v>190</v>
      </c>
      <c r="C55" s="7" t="s">
        <v>86</v>
      </c>
      <c r="D55" s="5">
        <v>1.0</v>
      </c>
    </row>
    <row r="56" ht="15.75" customHeight="1">
      <c r="A56" s="7" t="s">
        <v>191</v>
      </c>
      <c r="B56" s="7" t="s">
        <v>192</v>
      </c>
      <c r="C56" s="7" t="s">
        <v>86</v>
      </c>
      <c r="D56" s="5">
        <v>1.0</v>
      </c>
    </row>
    <row r="57" ht="15.75" customHeight="1">
      <c r="A57" s="7" t="s">
        <v>193</v>
      </c>
      <c r="B57" s="7" t="s">
        <v>194</v>
      </c>
      <c r="C57" s="7" t="s">
        <v>95</v>
      </c>
      <c r="D57" s="5">
        <v>1.0</v>
      </c>
    </row>
    <row r="58" ht="15.75" customHeight="1">
      <c r="A58" s="7" t="s">
        <v>195</v>
      </c>
      <c r="B58" s="7" t="s">
        <v>196</v>
      </c>
      <c r="C58" s="7" t="s">
        <v>81</v>
      </c>
      <c r="D58" s="5">
        <v>1.0</v>
      </c>
    </row>
    <row r="59" ht="15.75" customHeight="1">
      <c r="A59" s="7" t="s">
        <v>197</v>
      </c>
      <c r="B59" s="7" t="s">
        <v>198</v>
      </c>
      <c r="C59" s="7" t="s">
        <v>95</v>
      </c>
      <c r="D59" s="5">
        <v>2.0</v>
      </c>
    </row>
    <row r="60" ht="15.75" customHeight="1">
      <c r="A60" s="7" t="s">
        <v>199</v>
      </c>
      <c r="B60" s="7" t="s">
        <v>200</v>
      </c>
      <c r="C60" s="7" t="s">
        <v>86</v>
      </c>
      <c r="D60" s="5">
        <v>1.0</v>
      </c>
    </row>
    <row r="61" ht="15.75" customHeight="1">
      <c r="A61" s="7" t="s">
        <v>201</v>
      </c>
      <c r="B61" s="7" t="s">
        <v>202</v>
      </c>
      <c r="C61" s="7" t="s">
        <v>86</v>
      </c>
      <c r="D61" s="5">
        <v>1.0</v>
      </c>
    </row>
    <row r="62" ht="15.75" customHeight="1">
      <c r="A62" s="7" t="s">
        <v>203</v>
      </c>
      <c r="B62" s="7" t="s">
        <v>204</v>
      </c>
      <c r="C62" s="7" t="s">
        <v>81</v>
      </c>
      <c r="D62" s="5">
        <v>2.0</v>
      </c>
    </row>
    <row r="63" ht="15.75" customHeight="1">
      <c r="A63" s="7" t="s">
        <v>205</v>
      </c>
      <c r="B63" s="7" t="s">
        <v>206</v>
      </c>
      <c r="C63" s="7" t="s">
        <v>166</v>
      </c>
      <c r="D63" s="5">
        <v>1.0</v>
      </c>
    </row>
    <row r="64" ht="15.75" customHeight="1">
      <c r="A64" s="7" t="s">
        <v>207</v>
      </c>
      <c r="B64" s="7" t="s">
        <v>208</v>
      </c>
      <c r="C64" s="7" t="s">
        <v>95</v>
      </c>
      <c r="D64" s="5">
        <v>3.0</v>
      </c>
    </row>
    <row r="65" ht="15.75" customHeight="1">
      <c r="A65" s="7" t="s">
        <v>209</v>
      </c>
      <c r="B65" s="7" t="s">
        <v>210</v>
      </c>
      <c r="C65" s="7" t="s">
        <v>81</v>
      </c>
      <c r="D65" s="5">
        <v>3.0</v>
      </c>
    </row>
    <row r="66" ht="15.75" customHeight="1">
      <c r="A66" s="7" t="s">
        <v>211</v>
      </c>
      <c r="B66" s="7" t="s">
        <v>212</v>
      </c>
      <c r="C66" s="7" t="s">
        <v>86</v>
      </c>
      <c r="D66" s="5">
        <v>1.0</v>
      </c>
    </row>
    <row r="67" ht="15.75" customHeight="1">
      <c r="A67" s="7" t="s">
        <v>213</v>
      </c>
      <c r="B67" s="7" t="s">
        <v>214</v>
      </c>
      <c r="C67" s="7" t="s">
        <v>86</v>
      </c>
      <c r="D67" s="5">
        <v>2.0</v>
      </c>
    </row>
    <row r="68" ht="15.75" customHeight="1">
      <c r="A68" s="7" t="s">
        <v>215</v>
      </c>
      <c r="B68" s="7" t="s">
        <v>216</v>
      </c>
      <c r="C68" s="7" t="s">
        <v>81</v>
      </c>
      <c r="D68" s="5">
        <v>2.0</v>
      </c>
    </row>
    <row r="69" ht="15.75" customHeight="1">
      <c r="A69" s="7" t="s">
        <v>217</v>
      </c>
      <c r="B69" s="7" t="s">
        <v>218</v>
      </c>
      <c r="C69" s="7" t="s">
        <v>95</v>
      </c>
      <c r="D69" s="5">
        <v>4.0</v>
      </c>
    </row>
    <row r="70" ht="15.75" customHeight="1">
      <c r="A70" s="7" t="s">
        <v>219</v>
      </c>
      <c r="B70" s="7" t="s">
        <v>220</v>
      </c>
      <c r="C70" s="7" t="s">
        <v>95</v>
      </c>
      <c r="D70" s="5">
        <v>4.0</v>
      </c>
    </row>
    <row r="71" ht="15.75" customHeight="1">
      <c r="A71" s="7" t="s">
        <v>221</v>
      </c>
      <c r="B71" s="7" t="s">
        <v>222</v>
      </c>
      <c r="C71" s="7" t="s">
        <v>81</v>
      </c>
      <c r="D71" s="5">
        <v>3.0</v>
      </c>
    </row>
    <row r="72" ht="15.75" customHeight="1">
      <c r="A72" s="7" t="s">
        <v>223</v>
      </c>
      <c r="B72" s="7" t="s">
        <v>224</v>
      </c>
      <c r="C72" s="7" t="s">
        <v>81</v>
      </c>
      <c r="D72" s="5">
        <v>4.0</v>
      </c>
    </row>
    <row r="73" ht="15.75" customHeight="1">
      <c r="A73" s="7" t="s">
        <v>225</v>
      </c>
      <c r="B73" s="7" t="s">
        <v>226</v>
      </c>
      <c r="C73" s="7" t="s">
        <v>95</v>
      </c>
      <c r="D73" s="5">
        <v>2.0</v>
      </c>
    </row>
    <row r="74" ht="15.75" customHeight="1">
      <c r="A74" s="7" t="s">
        <v>227</v>
      </c>
      <c r="B74" s="7" t="s">
        <v>228</v>
      </c>
      <c r="C74" s="7" t="s">
        <v>81</v>
      </c>
      <c r="D74" s="5">
        <v>2.0</v>
      </c>
    </row>
    <row r="75" ht="15.75" customHeight="1">
      <c r="A75" s="7" t="s">
        <v>229</v>
      </c>
      <c r="B75" s="17" t="s">
        <v>275</v>
      </c>
      <c r="C75" s="7" t="s">
        <v>95</v>
      </c>
      <c r="D75" s="5">
        <v>4.0</v>
      </c>
    </row>
    <row r="76" ht="15.75" customHeight="1">
      <c r="A76" s="7" t="s">
        <v>231</v>
      </c>
      <c r="B76" s="7" t="s">
        <v>232</v>
      </c>
      <c r="C76" s="7" t="s">
        <v>86</v>
      </c>
      <c r="D76" s="5">
        <v>2.0</v>
      </c>
    </row>
    <row r="77" ht="15.75" customHeight="1">
      <c r="A77" s="7" t="s">
        <v>233</v>
      </c>
      <c r="B77" s="7" t="s">
        <v>234</v>
      </c>
      <c r="C77" s="7" t="s">
        <v>81</v>
      </c>
      <c r="D77" s="5">
        <v>2.0</v>
      </c>
    </row>
    <row r="78" ht="15.75" customHeight="1">
      <c r="A78" s="7" t="s">
        <v>235</v>
      </c>
      <c r="B78" s="7" t="s">
        <v>236</v>
      </c>
      <c r="C78" s="7" t="s">
        <v>166</v>
      </c>
      <c r="D78" s="5">
        <v>2.0</v>
      </c>
    </row>
    <row r="79" ht="15.75" customHeight="1">
      <c r="A79" s="7" t="s">
        <v>237</v>
      </c>
      <c r="B79" s="7" t="s">
        <v>238</v>
      </c>
      <c r="C79" s="7" t="s">
        <v>81</v>
      </c>
      <c r="D79" s="5">
        <v>2.0</v>
      </c>
    </row>
    <row r="80" ht="15.75" customHeight="1">
      <c r="A80" s="7" t="s">
        <v>239</v>
      </c>
      <c r="B80" s="7" t="s">
        <v>240</v>
      </c>
      <c r="C80" s="7" t="s">
        <v>81</v>
      </c>
      <c r="D80" s="5">
        <v>2.0</v>
      </c>
    </row>
    <row r="81" ht="15.75" customHeight="1">
      <c r="A81" s="7" t="s">
        <v>241</v>
      </c>
      <c r="B81" s="7" t="s">
        <v>242</v>
      </c>
      <c r="C81" s="7" t="s">
        <v>95</v>
      </c>
      <c r="D81" s="5">
        <v>2.0</v>
      </c>
    </row>
    <row r="82" ht="15.75" customHeight="1">
      <c r="A82" s="7" t="s">
        <v>243</v>
      </c>
      <c r="B82" s="7" t="s">
        <v>244</v>
      </c>
      <c r="C82" s="7" t="s">
        <v>86</v>
      </c>
      <c r="D82" s="5">
        <v>2.0</v>
      </c>
    </row>
    <row r="83" ht="15.75" customHeight="1">
      <c r="A83" s="7" t="s">
        <v>245</v>
      </c>
      <c r="B83" s="7" t="s">
        <v>246</v>
      </c>
      <c r="C83" s="7" t="s">
        <v>81</v>
      </c>
      <c r="D83" s="5">
        <v>4.0</v>
      </c>
    </row>
    <row r="84" ht="15.75" customHeight="1">
      <c r="A84" s="7" t="s">
        <v>247</v>
      </c>
      <c r="B84" s="7" t="s">
        <v>248</v>
      </c>
      <c r="C84" s="7" t="s">
        <v>86</v>
      </c>
      <c r="D84" s="5">
        <v>1.0</v>
      </c>
    </row>
    <row r="85" ht="15.75" customHeight="1">
      <c r="A85" s="7" t="s">
        <v>249</v>
      </c>
      <c r="B85" s="7" t="s">
        <v>250</v>
      </c>
      <c r="C85" s="7" t="s">
        <v>81</v>
      </c>
      <c r="D85" s="5">
        <v>4.0</v>
      </c>
    </row>
    <row r="86" ht="15.75" customHeight="1">
      <c r="A86" s="7" t="s">
        <v>251</v>
      </c>
      <c r="B86" s="7" t="s">
        <v>252</v>
      </c>
      <c r="C86" s="7" t="s">
        <v>81</v>
      </c>
      <c r="D86" s="5">
        <v>2.0</v>
      </c>
    </row>
    <row r="87" ht="15.75" customHeight="1">
      <c r="A87" s="7" t="s">
        <v>253</v>
      </c>
      <c r="B87" s="7" t="s">
        <v>254</v>
      </c>
      <c r="C87" s="7" t="s">
        <v>255</v>
      </c>
      <c r="D87" s="5">
        <v>3.0</v>
      </c>
    </row>
    <row r="88" ht="15.75" customHeight="1">
      <c r="A88" s="7" t="s">
        <v>256</v>
      </c>
      <c r="B88" s="7" t="s">
        <v>257</v>
      </c>
      <c r="C88" s="7" t="s">
        <v>166</v>
      </c>
      <c r="D88" s="5">
        <v>2.0</v>
      </c>
    </row>
    <row r="89" ht="15.75" customHeight="1">
      <c r="A89" s="7" t="s">
        <v>258</v>
      </c>
      <c r="B89" s="7" t="s">
        <v>259</v>
      </c>
      <c r="C89" s="7" t="s">
        <v>95</v>
      </c>
      <c r="D89" s="5">
        <v>4.0</v>
      </c>
    </row>
    <row r="90" ht="15.75" customHeight="1">
      <c r="A90" s="7" t="s">
        <v>260</v>
      </c>
      <c r="B90" s="7" t="s">
        <v>261</v>
      </c>
      <c r="C90" s="7" t="s">
        <v>166</v>
      </c>
      <c r="D90" s="5">
        <v>2.0</v>
      </c>
    </row>
    <row r="91" ht="15.75" customHeight="1">
      <c r="A91" s="7" t="s">
        <v>262</v>
      </c>
      <c r="B91" s="7" t="s">
        <v>263</v>
      </c>
      <c r="C91" s="7" t="s">
        <v>81</v>
      </c>
      <c r="D91" s="5">
        <v>3.0</v>
      </c>
    </row>
    <row r="92" ht="15.75" customHeight="1">
      <c r="A92" s="7" t="s">
        <v>264</v>
      </c>
      <c r="B92" s="7" t="s">
        <v>265</v>
      </c>
      <c r="C92" s="7" t="s">
        <v>81</v>
      </c>
      <c r="D92" s="5">
        <v>2.0</v>
      </c>
    </row>
    <row r="93" ht="15.75" customHeight="1">
      <c r="A93" s="7" t="s">
        <v>266</v>
      </c>
      <c r="B93" s="7" t="s">
        <v>267</v>
      </c>
      <c r="C93" s="7" t="s">
        <v>95</v>
      </c>
      <c r="D93" s="5">
        <v>4.0</v>
      </c>
    </row>
    <row r="94" ht="15.75" customHeight="1">
      <c r="A94" s="7" t="s">
        <v>268</v>
      </c>
      <c r="B94" s="7" t="s">
        <v>269</v>
      </c>
      <c r="C94" s="7" t="s">
        <v>255</v>
      </c>
      <c r="D94" s="5">
        <v>2.0</v>
      </c>
    </row>
    <row r="95" ht="15.75" customHeight="1">
      <c r="A95" s="7" t="s">
        <v>270</v>
      </c>
      <c r="B95" s="7" t="s">
        <v>271</v>
      </c>
      <c r="C95" s="7" t="s">
        <v>166</v>
      </c>
      <c r="D95" s="5">
        <v>2.0</v>
      </c>
    </row>
    <row r="96" ht="15.75" customHeight="1">
      <c r="A96" s="7" t="s">
        <v>272</v>
      </c>
      <c r="B96" s="7" t="s">
        <v>273</v>
      </c>
      <c r="C96" s="7" t="s">
        <v>95</v>
      </c>
      <c r="D96" s="5">
        <v>4.0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24.0"/>
    <col customWidth="1" min="4" max="4" width="14.0"/>
    <col customWidth="1" min="5" max="26" width="8.71"/>
  </cols>
  <sheetData>
    <row r="1">
      <c r="A1" s="3" t="s">
        <v>69</v>
      </c>
      <c r="B1" s="3" t="s">
        <v>70</v>
      </c>
      <c r="C1" s="3" t="s">
        <v>276</v>
      </c>
      <c r="D1" s="3" t="s">
        <v>277</v>
      </c>
    </row>
    <row r="2">
      <c r="A2" s="7" t="s">
        <v>79</v>
      </c>
      <c r="B2" s="7" t="s">
        <v>80</v>
      </c>
      <c r="C2" s="7" t="s">
        <v>278</v>
      </c>
      <c r="D2" s="7" t="s">
        <v>279</v>
      </c>
    </row>
    <row r="3">
      <c r="A3" s="7" t="s">
        <v>79</v>
      </c>
      <c r="B3" s="7" t="s">
        <v>80</v>
      </c>
      <c r="C3" s="7" t="s">
        <v>280</v>
      </c>
      <c r="D3" s="7" t="s">
        <v>281</v>
      </c>
    </row>
    <row r="4">
      <c r="A4" s="7" t="s">
        <v>79</v>
      </c>
      <c r="B4" s="7" t="s">
        <v>80</v>
      </c>
      <c r="C4" s="7" t="s">
        <v>282</v>
      </c>
      <c r="D4" s="7" t="s">
        <v>281</v>
      </c>
    </row>
    <row r="5">
      <c r="A5" s="7" t="s">
        <v>79</v>
      </c>
      <c r="B5" s="7" t="s">
        <v>80</v>
      </c>
      <c r="C5" s="7" t="s">
        <v>283</v>
      </c>
      <c r="D5" s="7" t="s">
        <v>281</v>
      </c>
    </row>
    <row r="6">
      <c r="A6" s="7" t="s">
        <v>82</v>
      </c>
      <c r="B6" s="7" t="s">
        <v>83</v>
      </c>
      <c r="C6" s="7" t="s">
        <v>284</v>
      </c>
      <c r="D6" s="7" t="s">
        <v>279</v>
      </c>
    </row>
    <row r="7">
      <c r="A7" s="7" t="s">
        <v>82</v>
      </c>
      <c r="B7" s="7" t="s">
        <v>83</v>
      </c>
      <c r="C7" s="7" t="s">
        <v>285</v>
      </c>
      <c r="D7" s="7" t="s">
        <v>281</v>
      </c>
    </row>
    <row r="8">
      <c r="A8" s="7" t="s">
        <v>84</v>
      </c>
      <c r="B8" s="7" t="s">
        <v>85</v>
      </c>
      <c r="C8" s="7" t="s">
        <v>286</v>
      </c>
      <c r="D8" s="7" t="s">
        <v>279</v>
      </c>
    </row>
    <row r="9">
      <c r="A9" s="7" t="s">
        <v>84</v>
      </c>
      <c r="B9" s="7" t="s">
        <v>85</v>
      </c>
      <c r="C9" s="7" t="s">
        <v>287</v>
      </c>
      <c r="D9" s="7" t="s">
        <v>281</v>
      </c>
    </row>
    <row r="10">
      <c r="A10" s="7" t="s">
        <v>87</v>
      </c>
      <c r="B10" s="7" t="s">
        <v>88</v>
      </c>
      <c r="C10" s="7" t="s">
        <v>288</v>
      </c>
      <c r="D10" s="7" t="s">
        <v>279</v>
      </c>
    </row>
    <row r="11">
      <c r="A11" s="7" t="s">
        <v>87</v>
      </c>
      <c r="B11" s="7" t="s">
        <v>88</v>
      </c>
      <c r="C11" s="7" t="s">
        <v>289</v>
      </c>
      <c r="D11" s="7" t="s">
        <v>281</v>
      </c>
    </row>
    <row r="12">
      <c r="A12" s="7" t="s">
        <v>89</v>
      </c>
      <c r="B12" s="7" t="s">
        <v>90</v>
      </c>
      <c r="C12" s="7" t="s">
        <v>290</v>
      </c>
      <c r="D12" s="7" t="s">
        <v>279</v>
      </c>
    </row>
    <row r="13">
      <c r="A13" s="7" t="s">
        <v>89</v>
      </c>
      <c r="B13" s="7" t="s">
        <v>90</v>
      </c>
      <c r="C13" s="7" t="s">
        <v>291</v>
      </c>
      <c r="D13" s="7" t="s">
        <v>281</v>
      </c>
    </row>
    <row r="14">
      <c r="A14" s="7" t="s">
        <v>91</v>
      </c>
      <c r="B14" s="7" t="s">
        <v>92</v>
      </c>
      <c r="C14" s="7" t="s">
        <v>292</v>
      </c>
      <c r="D14" s="7" t="s">
        <v>279</v>
      </c>
    </row>
    <row r="15">
      <c r="A15" s="7" t="s">
        <v>91</v>
      </c>
      <c r="B15" s="7" t="s">
        <v>92</v>
      </c>
      <c r="C15" s="7" t="s">
        <v>293</v>
      </c>
      <c r="D15" s="7" t="s">
        <v>281</v>
      </c>
    </row>
    <row r="16">
      <c r="A16" s="7" t="s">
        <v>93</v>
      </c>
      <c r="B16" s="7" t="s">
        <v>94</v>
      </c>
      <c r="C16" s="7" t="s">
        <v>294</v>
      </c>
      <c r="D16" s="7" t="s">
        <v>279</v>
      </c>
    </row>
    <row r="17">
      <c r="A17" s="7" t="s">
        <v>93</v>
      </c>
      <c r="B17" s="7" t="s">
        <v>94</v>
      </c>
      <c r="C17" s="7" t="s">
        <v>295</v>
      </c>
      <c r="D17" s="7" t="s">
        <v>281</v>
      </c>
    </row>
    <row r="18">
      <c r="A18" s="7" t="s">
        <v>93</v>
      </c>
      <c r="B18" s="7" t="s">
        <v>94</v>
      </c>
      <c r="C18" s="7" t="s">
        <v>296</v>
      </c>
      <c r="D18" s="7" t="s">
        <v>281</v>
      </c>
    </row>
    <row r="19">
      <c r="A19" s="7" t="s">
        <v>93</v>
      </c>
      <c r="B19" s="7" t="s">
        <v>94</v>
      </c>
      <c r="C19" s="7" t="s">
        <v>297</v>
      </c>
      <c r="D19" s="7" t="s">
        <v>281</v>
      </c>
    </row>
    <row r="20">
      <c r="A20" s="7" t="s">
        <v>96</v>
      </c>
      <c r="B20" s="7" t="s">
        <v>97</v>
      </c>
      <c r="C20" s="7" t="s">
        <v>298</v>
      </c>
      <c r="D20" s="7" t="s">
        <v>279</v>
      </c>
    </row>
    <row r="21" ht="15.75" customHeight="1">
      <c r="A21" s="7" t="s">
        <v>96</v>
      </c>
      <c r="B21" s="7" t="s">
        <v>97</v>
      </c>
      <c r="C21" s="7" t="s">
        <v>299</v>
      </c>
      <c r="D21" s="7" t="s">
        <v>281</v>
      </c>
    </row>
    <row r="22" ht="15.75" customHeight="1">
      <c r="A22" s="7" t="s">
        <v>96</v>
      </c>
      <c r="B22" s="7" t="s">
        <v>97</v>
      </c>
      <c r="C22" s="7" t="s">
        <v>300</v>
      </c>
      <c r="D22" s="7" t="s">
        <v>281</v>
      </c>
    </row>
    <row r="23" ht="15.75" customHeight="1">
      <c r="A23" s="7" t="s">
        <v>98</v>
      </c>
      <c r="B23" s="7" t="s">
        <v>99</v>
      </c>
      <c r="C23" s="7" t="s">
        <v>301</v>
      </c>
      <c r="D23" s="7" t="s">
        <v>279</v>
      </c>
    </row>
    <row r="24" ht="15.75" customHeight="1">
      <c r="A24" s="7" t="s">
        <v>98</v>
      </c>
      <c r="B24" s="7" t="s">
        <v>99</v>
      </c>
      <c r="C24" s="7" t="s">
        <v>302</v>
      </c>
      <c r="D24" s="7" t="s">
        <v>281</v>
      </c>
    </row>
    <row r="25" ht="15.75" customHeight="1">
      <c r="A25" s="7" t="s">
        <v>100</v>
      </c>
      <c r="B25" s="7" t="s">
        <v>101</v>
      </c>
      <c r="C25" s="7" t="s">
        <v>303</v>
      </c>
      <c r="D25" s="7" t="s">
        <v>279</v>
      </c>
    </row>
    <row r="26" ht="15.75" customHeight="1">
      <c r="A26" s="7" t="s">
        <v>100</v>
      </c>
      <c r="B26" s="7" t="s">
        <v>101</v>
      </c>
      <c r="C26" s="7" t="s">
        <v>304</v>
      </c>
      <c r="D26" s="7" t="s">
        <v>281</v>
      </c>
    </row>
    <row r="27" ht="15.75" customHeight="1">
      <c r="A27" s="7" t="s">
        <v>100</v>
      </c>
      <c r="B27" s="7" t="s">
        <v>101</v>
      </c>
      <c r="C27" s="7" t="s">
        <v>305</v>
      </c>
      <c r="D27" s="7" t="s">
        <v>281</v>
      </c>
    </row>
    <row r="28" ht="15.75" customHeight="1">
      <c r="A28" s="7" t="s">
        <v>100</v>
      </c>
      <c r="B28" s="7" t="s">
        <v>101</v>
      </c>
      <c r="C28" s="7" t="s">
        <v>306</v>
      </c>
      <c r="D28" s="7" t="s">
        <v>281</v>
      </c>
    </row>
    <row r="29" ht="15.75" customHeight="1">
      <c r="A29" s="7" t="s">
        <v>102</v>
      </c>
      <c r="B29" s="7" t="s">
        <v>103</v>
      </c>
      <c r="C29" s="7" t="s">
        <v>307</v>
      </c>
      <c r="D29" s="7" t="s">
        <v>279</v>
      </c>
    </row>
    <row r="30" ht="15.75" customHeight="1">
      <c r="A30" s="7" t="s">
        <v>102</v>
      </c>
      <c r="B30" s="7" t="s">
        <v>103</v>
      </c>
      <c r="C30" s="7" t="s">
        <v>308</v>
      </c>
      <c r="D30" s="7" t="s">
        <v>281</v>
      </c>
    </row>
    <row r="31" ht="15.75" customHeight="1">
      <c r="A31" s="7" t="s">
        <v>102</v>
      </c>
      <c r="B31" s="7" t="s">
        <v>103</v>
      </c>
      <c r="C31" s="7" t="s">
        <v>309</v>
      </c>
      <c r="D31" s="7" t="s">
        <v>281</v>
      </c>
    </row>
    <row r="32" ht="15.75" customHeight="1">
      <c r="A32" s="7" t="s">
        <v>102</v>
      </c>
      <c r="B32" s="7" t="s">
        <v>103</v>
      </c>
      <c r="C32" s="7" t="s">
        <v>310</v>
      </c>
      <c r="D32" s="7" t="s">
        <v>281</v>
      </c>
    </row>
    <row r="33" ht="15.75" customHeight="1">
      <c r="A33" s="7" t="s">
        <v>104</v>
      </c>
      <c r="B33" s="7" t="s">
        <v>105</v>
      </c>
      <c r="C33" s="7" t="s">
        <v>311</v>
      </c>
      <c r="D33" s="7" t="s">
        <v>279</v>
      </c>
    </row>
    <row r="34" ht="15.75" customHeight="1">
      <c r="A34" s="7" t="s">
        <v>104</v>
      </c>
      <c r="B34" s="7" t="s">
        <v>105</v>
      </c>
      <c r="C34" s="7" t="s">
        <v>312</v>
      </c>
      <c r="D34" s="7" t="s">
        <v>281</v>
      </c>
    </row>
    <row r="35" ht="15.75" customHeight="1">
      <c r="A35" s="7" t="s">
        <v>106</v>
      </c>
      <c r="B35" s="7" t="s">
        <v>107</v>
      </c>
      <c r="C35" s="7" t="s">
        <v>313</v>
      </c>
      <c r="D35" s="7" t="s">
        <v>279</v>
      </c>
    </row>
    <row r="36" ht="15.75" customHeight="1">
      <c r="A36" s="7" t="s">
        <v>106</v>
      </c>
      <c r="B36" s="7" t="s">
        <v>107</v>
      </c>
      <c r="C36" s="7" t="s">
        <v>314</v>
      </c>
      <c r="D36" s="7" t="s">
        <v>281</v>
      </c>
    </row>
    <row r="37" ht="15.75" customHeight="1">
      <c r="A37" s="7" t="s">
        <v>106</v>
      </c>
      <c r="B37" s="7" t="s">
        <v>107</v>
      </c>
      <c r="C37" s="7" t="s">
        <v>315</v>
      </c>
      <c r="D37" s="7" t="s">
        <v>281</v>
      </c>
    </row>
    <row r="38" ht="15.75" customHeight="1">
      <c r="A38" s="7" t="s">
        <v>108</v>
      </c>
      <c r="B38" s="7" t="s">
        <v>109</v>
      </c>
      <c r="C38" s="7" t="s">
        <v>316</v>
      </c>
      <c r="D38" s="7" t="s">
        <v>279</v>
      </c>
    </row>
    <row r="39" ht="15.75" customHeight="1">
      <c r="A39" s="7" t="s">
        <v>108</v>
      </c>
      <c r="B39" s="7" t="s">
        <v>109</v>
      </c>
      <c r="C39" s="7" t="s">
        <v>317</v>
      </c>
      <c r="D39" s="7" t="s">
        <v>281</v>
      </c>
    </row>
    <row r="40" ht="15.75" customHeight="1">
      <c r="A40" s="7" t="s">
        <v>110</v>
      </c>
      <c r="B40" s="7" t="s">
        <v>111</v>
      </c>
      <c r="C40" s="7" t="s">
        <v>318</v>
      </c>
      <c r="D40" s="7" t="s">
        <v>279</v>
      </c>
    </row>
    <row r="41" ht="15.75" customHeight="1">
      <c r="A41" s="7" t="s">
        <v>110</v>
      </c>
      <c r="B41" s="7" t="s">
        <v>111</v>
      </c>
      <c r="C41" s="7" t="s">
        <v>319</v>
      </c>
      <c r="D41" s="7" t="s">
        <v>281</v>
      </c>
    </row>
    <row r="42" ht="15.75" customHeight="1">
      <c r="A42" s="7" t="s">
        <v>110</v>
      </c>
      <c r="B42" s="7" t="s">
        <v>111</v>
      </c>
      <c r="C42" s="7" t="s">
        <v>320</v>
      </c>
      <c r="D42" s="7" t="s">
        <v>281</v>
      </c>
    </row>
    <row r="43" ht="15.75" customHeight="1">
      <c r="A43" s="7" t="s">
        <v>112</v>
      </c>
      <c r="B43" s="7" t="s">
        <v>113</v>
      </c>
      <c r="C43" s="7" t="s">
        <v>321</v>
      </c>
      <c r="D43" s="7" t="s">
        <v>279</v>
      </c>
    </row>
    <row r="44" ht="15.75" customHeight="1">
      <c r="A44" s="7" t="s">
        <v>112</v>
      </c>
      <c r="B44" s="7" t="s">
        <v>113</v>
      </c>
      <c r="C44" s="7" t="s">
        <v>322</v>
      </c>
      <c r="D44" s="7" t="s">
        <v>281</v>
      </c>
    </row>
    <row r="45" ht="15.75" customHeight="1">
      <c r="A45" s="7" t="s">
        <v>112</v>
      </c>
      <c r="B45" s="7" t="s">
        <v>113</v>
      </c>
      <c r="C45" s="7" t="s">
        <v>323</v>
      </c>
      <c r="D45" s="7" t="s">
        <v>281</v>
      </c>
    </row>
    <row r="46" ht="15.75" customHeight="1">
      <c r="A46" s="7" t="s">
        <v>114</v>
      </c>
      <c r="B46" s="7" t="s">
        <v>115</v>
      </c>
      <c r="C46" s="7" t="s">
        <v>324</v>
      </c>
      <c r="D46" s="7" t="s">
        <v>279</v>
      </c>
    </row>
    <row r="47" ht="15.75" customHeight="1">
      <c r="A47" s="7" t="s">
        <v>114</v>
      </c>
      <c r="B47" s="7" t="s">
        <v>115</v>
      </c>
      <c r="C47" s="7" t="s">
        <v>325</v>
      </c>
      <c r="D47" s="7" t="s">
        <v>281</v>
      </c>
    </row>
    <row r="48" ht="15.75" customHeight="1">
      <c r="A48" s="7" t="s">
        <v>114</v>
      </c>
      <c r="B48" s="7" t="s">
        <v>115</v>
      </c>
      <c r="C48" s="7" t="s">
        <v>326</v>
      </c>
      <c r="D48" s="7" t="s">
        <v>281</v>
      </c>
    </row>
    <row r="49" ht="15.75" customHeight="1">
      <c r="A49" s="7" t="s">
        <v>116</v>
      </c>
      <c r="B49" s="7" t="s">
        <v>117</v>
      </c>
      <c r="C49" s="7" t="s">
        <v>327</v>
      </c>
      <c r="D49" s="7" t="s">
        <v>279</v>
      </c>
    </row>
    <row r="50" ht="15.75" customHeight="1">
      <c r="A50" s="7" t="s">
        <v>116</v>
      </c>
      <c r="B50" s="7" t="s">
        <v>117</v>
      </c>
      <c r="C50" s="7" t="s">
        <v>328</v>
      </c>
      <c r="D50" s="7" t="s">
        <v>281</v>
      </c>
    </row>
    <row r="51" ht="15.75" customHeight="1">
      <c r="A51" s="7" t="s">
        <v>118</v>
      </c>
      <c r="B51" s="7" t="s">
        <v>119</v>
      </c>
      <c r="C51" s="7" t="s">
        <v>329</v>
      </c>
      <c r="D51" s="7" t="s">
        <v>279</v>
      </c>
    </row>
    <row r="52" ht="15.75" customHeight="1">
      <c r="A52" s="7" t="s">
        <v>118</v>
      </c>
      <c r="B52" s="7" t="s">
        <v>119</v>
      </c>
      <c r="C52" s="7" t="s">
        <v>330</v>
      </c>
      <c r="D52" s="7" t="s">
        <v>281</v>
      </c>
    </row>
    <row r="53" ht="15.75" customHeight="1">
      <c r="A53" s="7" t="s">
        <v>120</v>
      </c>
      <c r="B53" s="7" t="s">
        <v>121</v>
      </c>
      <c r="C53" s="7" t="s">
        <v>331</v>
      </c>
      <c r="D53" s="7" t="s">
        <v>279</v>
      </c>
    </row>
    <row r="54" ht="15.75" customHeight="1">
      <c r="A54" s="7" t="s">
        <v>120</v>
      </c>
      <c r="B54" s="7" t="s">
        <v>121</v>
      </c>
      <c r="C54" s="7" t="s">
        <v>332</v>
      </c>
      <c r="D54" s="7" t="s">
        <v>281</v>
      </c>
    </row>
    <row r="55" ht="15.75" customHeight="1">
      <c r="A55" s="7" t="s">
        <v>120</v>
      </c>
      <c r="B55" s="7" t="s">
        <v>121</v>
      </c>
      <c r="C55" s="7" t="s">
        <v>333</v>
      </c>
      <c r="D55" s="7" t="s">
        <v>281</v>
      </c>
    </row>
    <row r="56" ht="15.75" customHeight="1">
      <c r="A56" s="7" t="s">
        <v>122</v>
      </c>
      <c r="B56" s="7" t="s">
        <v>123</v>
      </c>
      <c r="C56" s="7" t="s">
        <v>334</v>
      </c>
      <c r="D56" s="7" t="s">
        <v>279</v>
      </c>
    </row>
    <row r="57" ht="15.75" customHeight="1">
      <c r="A57" s="7" t="s">
        <v>124</v>
      </c>
      <c r="B57" s="7" t="s">
        <v>125</v>
      </c>
      <c r="C57" s="7" t="s">
        <v>335</v>
      </c>
      <c r="D57" s="7" t="s">
        <v>279</v>
      </c>
    </row>
    <row r="58" ht="15.75" customHeight="1">
      <c r="A58" s="7" t="s">
        <v>124</v>
      </c>
      <c r="B58" s="7" t="s">
        <v>125</v>
      </c>
      <c r="C58" s="7" t="s">
        <v>336</v>
      </c>
      <c r="D58" s="7" t="s">
        <v>281</v>
      </c>
    </row>
    <row r="59" ht="15.75" customHeight="1">
      <c r="A59" s="7" t="s">
        <v>126</v>
      </c>
      <c r="B59" s="7" t="s">
        <v>127</v>
      </c>
      <c r="C59" s="7" t="s">
        <v>337</v>
      </c>
      <c r="D59" s="7" t="s">
        <v>279</v>
      </c>
    </row>
    <row r="60" ht="15.75" customHeight="1">
      <c r="A60" s="7" t="s">
        <v>126</v>
      </c>
      <c r="B60" s="7" t="s">
        <v>127</v>
      </c>
      <c r="C60" s="7" t="s">
        <v>338</v>
      </c>
      <c r="D60" s="7" t="s">
        <v>281</v>
      </c>
    </row>
    <row r="61" ht="15.75" customHeight="1">
      <c r="A61" s="7" t="s">
        <v>128</v>
      </c>
      <c r="B61" s="7" t="s">
        <v>129</v>
      </c>
      <c r="C61" s="7" t="s">
        <v>339</v>
      </c>
      <c r="D61" s="7" t="s">
        <v>279</v>
      </c>
    </row>
    <row r="62" ht="15.75" customHeight="1">
      <c r="A62" s="7" t="s">
        <v>130</v>
      </c>
      <c r="B62" s="7" t="s">
        <v>131</v>
      </c>
      <c r="C62" s="7" t="s">
        <v>340</v>
      </c>
      <c r="D62" s="7" t="s">
        <v>279</v>
      </c>
    </row>
    <row r="63" ht="15.75" customHeight="1">
      <c r="A63" s="7" t="s">
        <v>132</v>
      </c>
      <c r="B63" s="7" t="s">
        <v>133</v>
      </c>
      <c r="C63" s="7" t="s">
        <v>341</v>
      </c>
      <c r="D63" s="7" t="s">
        <v>279</v>
      </c>
    </row>
    <row r="64" ht="15.75" customHeight="1">
      <c r="A64" s="7" t="s">
        <v>134</v>
      </c>
      <c r="B64" s="7" t="s">
        <v>135</v>
      </c>
      <c r="C64" s="7" t="s">
        <v>342</v>
      </c>
      <c r="D64" s="7" t="s">
        <v>279</v>
      </c>
    </row>
    <row r="65" ht="15.75" customHeight="1">
      <c r="A65" s="7" t="s">
        <v>136</v>
      </c>
      <c r="B65" s="7" t="s">
        <v>137</v>
      </c>
      <c r="C65" s="7" t="s">
        <v>343</v>
      </c>
      <c r="D65" s="7" t="s">
        <v>279</v>
      </c>
    </row>
    <row r="66" ht="15.75" customHeight="1">
      <c r="A66" s="7" t="s">
        <v>138</v>
      </c>
      <c r="B66" s="7" t="s">
        <v>139</v>
      </c>
      <c r="C66" s="7" t="s">
        <v>344</v>
      </c>
      <c r="D66" s="7" t="s">
        <v>279</v>
      </c>
    </row>
    <row r="67" ht="15.75" customHeight="1">
      <c r="A67" s="7" t="s">
        <v>138</v>
      </c>
      <c r="B67" s="7" t="s">
        <v>139</v>
      </c>
      <c r="C67" s="7" t="s">
        <v>345</v>
      </c>
      <c r="D67" s="7" t="s">
        <v>281</v>
      </c>
    </row>
    <row r="68" ht="15.75" customHeight="1">
      <c r="A68" s="7" t="s">
        <v>140</v>
      </c>
      <c r="B68" s="7" t="s">
        <v>141</v>
      </c>
      <c r="C68" s="7" t="s">
        <v>346</v>
      </c>
      <c r="D68" s="7" t="s">
        <v>279</v>
      </c>
    </row>
    <row r="69" ht="15.75" customHeight="1">
      <c r="A69" s="7" t="s">
        <v>140</v>
      </c>
      <c r="B69" s="7" t="s">
        <v>141</v>
      </c>
      <c r="C69" s="7" t="s">
        <v>347</v>
      </c>
      <c r="D69" s="7" t="s">
        <v>281</v>
      </c>
    </row>
    <row r="70" ht="15.75" customHeight="1">
      <c r="A70" s="7" t="s">
        <v>142</v>
      </c>
      <c r="B70" s="7" t="s">
        <v>143</v>
      </c>
      <c r="C70" s="7" t="s">
        <v>348</v>
      </c>
      <c r="D70" s="7" t="s">
        <v>279</v>
      </c>
    </row>
    <row r="71" ht="15.75" customHeight="1">
      <c r="A71" s="7" t="s">
        <v>144</v>
      </c>
      <c r="B71" s="7" t="s">
        <v>145</v>
      </c>
      <c r="C71" s="7" t="s">
        <v>349</v>
      </c>
      <c r="D71" s="7" t="s">
        <v>279</v>
      </c>
    </row>
    <row r="72" ht="15.75" customHeight="1">
      <c r="A72" s="7" t="s">
        <v>146</v>
      </c>
      <c r="B72" s="7" t="s">
        <v>147</v>
      </c>
      <c r="C72" s="7" t="s">
        <v>350</v>
      </c>
      <c r="D72" s="7" t="s">
        <v>279</v>
      </c>
    </row>
    <row r="73" ht="15.75" customHeight="1">
      <c r="A73" s="7" t="s">
        <v>146</v>
      </c>
      <c r="B73" s="7" t="s">
        <v>147</v>
      </c>
      <c r="C73" s="7" t="s">
        <v>351</v>
      </c>
      <c r="D73" s="7" t="s">
        <v>281</v>
      </c>
    </row>
    <row r="74" ht="15.75" customHeight="1">
      <c r="A74" s="7" t="s">
        <v>148</v>
      </c>
      <c r="B74" s="7" t="s">
        <v>149</v>
      </c>
      <c r="C74" s="7" t="s">
        <v>352</v>
      </c>
      <c r="D74" s="7" t="s">
        <v>279</v>
      </c>
    </row>
    <row r="75" ht="15.75" customHeight="1">
      <c r="A75" s="7" t="s">
        <v>148</v>
      </c>
      <c r="B75" s="7" t="s">
        <v>149</v>
      </c>
      <c r="C75" s="7" t="s">
        <v>353</v>
      </c>
      <c r="D75" s="7" t="s">
        <v>281</v>
      </c>
    </row>
    <row r="76" ht="15.75" customHeight="1">
      <c r="A76" s="7" t="s">
        <v>150</v>
      </c>
      <c r="B76" s="7" t="s">
        <v>151</v>
      </c>
      <c r="C76" s="7" t="s">
        <v>354</v>
      </c>
      <c r="D76" s="7" t="s">
        <v>279</v>
      </c>
    </row>
    <row r="77" ht="15.75" customHeight="1">
      <c r="A77" s="7" t="s">
        <v>150</v>
      </c>
      <c r="B77" s="7" t="s">
        <v>151</v>
      </c>
      <c r="C77" s="7" t="s">
        <v>355</v>
      </c>
      <c r="D77" s="7" t="s">
        <v>281</v>
      </c>
    </row>
    <row r="78" ht="15.75" customHeight="1">
      <c r="A78" s="7" t="s">
        <v>150</v>
      </c>
      <c r="B78" s="7" t="s">
        <v>151</v>
      </c>
      <c r="C78" s="7" t="s">
        <v>356</v>
      </c>
      <c r="D78" s="7" t="s">
        <v>281</v>
      </c>
    </row>
    <row r="79" ht="15.75" customHeight="1">
      <c r="A79" s="7" t="s">
        <v>152</v>
      </c>
      <c r="B79" s="7" t="s">
        <v>153</v>
      </c>
      <c r="C79" s="7" t="s">
        <v>357</v>
      </c>
      <c r="D79" s="7" t="s">
        <v>279</v>
      </c>
    </row>
    <row r="80" ht="15.75" customHeight="1">
      <c r="A80" s="7" t="s">
        <v>154</v>
      </c>
      <c r="B80" s="7" t="s">
        <v>155</v>
      </c>
      <c r="C80" s="7" t="s">
        <v>358</v>
      </c>
      <c r="D80" s="7" t="s">
        <v>279</v>
      </c>
    </row>
    <row r="81" ht="15.75" customHeight="1">
      <c r="A81" s="7" t="s">
        <v>154</v>
      </c>
      <c r="B81" s="7" t="s">
        <v>155</v>
      </c>
      <c r="C81" s="7" t="s">
        <v>359</v>
      </c>
      <c r="D81" s="7" t="s">
        <v>281</v>
      </c>
    </row>
    <row r="82" ht="15.75" customHeight="1">
      <c r="A82" s="7" t="s">
        <v>154</v>
      </c>
      <c r="B82" s="7" t="s">
        <v>155</v>
      </c>
      <c r="C82" s="7" t="s">
        <v>360</v>
      </c>
      <c r="D82" s="7" t="s">
        <v>281</v>
      </c>
    </row>
    <row r="83" ht="15.75" customHeight="1">
      <c r="A83" s="7" t="s">
        <v>156</v>
      </c>
      <c r="B83" s="7" t="s">
        <v>157</v>
      </c>
      <c r="C83" s="7" t="s">
        <v>361</v>
      </c>
      <c r="D83" s="7" t="s">
        <v>279</v>
      </c>
    </row>
    <row r="84" ht="15.75" customHeight="1">
      <c r="A84" s="7" t="s">
        <v>156</v>
      </c>
      <c r="B84" s="7" t="s">
        <v>157</v>
      </c>
      <c r="C84" s="7" t="s">
        <v>362</v>
      </c>
      <c r="D84" s="7" t="s">
        <v>281</v>
      </c>
    </row>
    <row r="85" ht="15.75" customHeight="1">
      <c r="A85" s="7" t="s">
        <v>158</v>
      </c>
      <c r="B85" s="7" t="s">
        <v>159</v>
      </c>
      <c r="C85" s="7" t="s">
        <v>363</v>
      </c>
      <c r="D85" s="7" t="s">
        <v>279</v>
      </c>
    </row>
    <row r="86" ht="15.75" customHeight="1">
      <c r="A86" s="7" t="s">
        <v>158</v>
      </c>
      <c r="B86" s="7" t="s">
        <v>159</v>
      </c>
      <c r="C86" s="7" t="s">
        <v>364</v>
      </c>
      <c r="D86" s="7" t="s">
        <v>281</v>
      </c>
    </row>
    <row r="87" ht="15.75" customHeight="1">
      <c r="A87" s="7" t="s">
        <v>160</v>
      </c>
      <c r="B87" s="7" t="s">
        <v>161</v>
      </c>
      <c r="C87" s="7" t="s">
        <v>365</v>
      </c>
      <c r="D87" s="7" t="s">
        <v>279</v>
      </c>
    </row>
    <row r="88" ht="15.75" customHeight="1">
      <c r="A88" s="7" t="s">
        <v>160</v>
      </c>
      <c r="B88" s="7" t="s">
        <v>161</v>
      </c>
      <c r="C88" s="7" t="s">
        <v>366</v>
      </c>
      <c r="D88" s="7" t="s">
        <v>281</v>
      </c>
    </row>
    <row r="89" ht="15.75" customHeight="1">
      <c r="A89" s="7" t="s">
        <v>162</v>
      </c>
      <c r="B89" s="7" t="s">
        <v>163</v>
      </c>
      <c r="C89" s="7" t="s">
        <v>367</v>
      </c>
      <c r="D89" s="7" t="s">
        <v>279</v>
      </c>
    </row>
    <row r="90" ht="15.75" customHeight="1">
      <c r="A90" s="7" t="s">
        <v>164</v>
      </c>
      <c r="B90" s="7" t="s">
        <v>165</v>
      </c>
      <c r="C90" s="7" t="s">
        <v>368</v>
      </c>
      <c r="D90" s="7" t="s">
        <v>279</v>
      </c>
    </row>
    <row r="91" ht="15.75" customHeight="1">
      <c r="A91" s="7" t="s">
        <v>164</v>
      </c>
      <c r="B91" s="7" t="s">
        <v>165</v>
      </c>
      <c r="C91" s="7" t="s">
        <v>369</v>
      </c>
      <c r="D91" s="7" t="s">
        <v>281</v>
      </c>
    </row>
    <row r="92" ht="15.75" customHeight="1">
      <c r="A92" s="7" t="s">
        <v>164</v>
      </c>
      <c r="B92" s="7" t="s">
        <v>165</v>
      </c>
      <c r="C92" s="7" t="s">
        <v>370</v>
      </c>
      <c r="D92" s="7" t="s">
        <v>281</v>
      </c>
    </row>
    <row r="93" ht="15.75" customHeight="1">
      <c r="A93" s="7" t="s">
        <v>167</v>
      </c>
      <c r="B93" s="7" t="s">
        <v>168</v>
      </c>
      <c r="C93" s="7" t="s">
        <v>289</v>
      </c>
      <c r="D93" s="7" t="s">
        <v>279</v>
      </c>
    </row>
    <row r="94" ht="15.75" customHeight="1">
      <c r="A94" s="7" t="s">
        <v>167</v>
      </c>
      <c r="B94" s="7" t="s">
        <v>168</v>
      </c>
      <c r="C94" s="7" t="s">
        <v>371</v>
      </c>
      <c r="D94" s="7" t="s">
        <v>281</v>
      </c>
    </row>
    <row r="95" ht="15.75" customHeight="1">
      <c r="A95" s="7" t="s">
        <v>169</v>
      </c>
      <c r="B95" s="7" t="s">
        <v>170</v>
      </c>
      <c r="C95" s="7" t="s">
        <v>372</v>
      </c>
      <c r="D95" s="7" t="s">
        <v>279</v>
      </c>
    </row>
    <row r="96" ht="15.75" customHeight="1">
      <c r="A96" s="7" t="s">
        <v>169</v>
      </c>
      <c r="B96" s="7" t="s">
        <v>170</v>
      </c>
      <c r="C96" s="7" t="s">
        <v>373</v>
      </c>
      <c r="D96" s="7" t="s">
        <v>281</v>
      </c>
    </row>
    <row r="97" ht="15.75" customHeight="1">
      <c r="A97" s="7" t="s">
        <v>171</v>
      </c>
      <c r="B97" s="7" t="s">
        <v>172</v>
      </c>
      <c r="C97" s="7" t="s">
        <v>374</v>
      </c>
      <c r="D97" s="7" t="s">
        <v>279</v>
      </c>
    </row>
    <row r="98" ht="15.75" customHeight="1">
      <c r="A98" s="7" t="s">
        <v>173</v>
      </c>
      <c r="B98" s="7" t="s">
        <v>174</v>
      </c>
      <c r="C98" s="7" t="s">
        <v>375</v>
      </c>
      <c r="D98" s="7" t="s">
        <v>279</v>
      </c>
    </row>
    <row r="99" ht="15.75" customHeight="1">
      <c r="A99" s="7" t="s">
        <v>173</v>
      </c>
      <c r="B99" s="7" t="s">
        <v>174</v>
      </c>
      <c r="C99" s="7" t="s">
        <v>376</v>
      </c>
      <c r="D99" s="7" t="s">
        <v>281</v>
      </c>
    </row>
    <row r="100" ht="15.75" customHeight="1">
      <c r="A100" s="7" t="s">
        <v>173</v>
      </c>
      <c r="B100" s="7" t="s">
        <v>174</v>
      </c>
      <c r="C100" s="7" t="s">
        <v>377</v>
      </c>
      <c r="D100" s="7" t="s">
        <v>281</v>
      </c>
    </row>
    <row r="101" ht="15.75" customHeight="1">
      <c r="A101" s="7" t="s">
        <v>175</v>
      </c>
      <c r="B101" s="7" t="s">
        <v>176</v>
      </c>
      <c r="C101" s="7" t="s">
        <v>378</v>
      </c>
      <c r="D101" s="7" t="s">
        <v>279</v>
      </c>
    </row>
    <row r="102" ht="15.75" customHeight="1">
      <c r="A102" s="7" t="s">
        <v>175</v>
      </c>
      <c r="B102" s="7" t="s">
        <v>176</v>
      </c>
      <c r="C102" s="7" t="s">
        <v>379</v>
      </c>
      <c r="D102" s="7" t="s">
        <v>281</v>
      </c>
    </row>
    <row r="103" ht="15.75" customHeight="1">
      <c r="A103" s="7" t="s">
        <v>175</v>
      </c>
      <c r="B103" s="7" t="s">
        <v>176</v>
      </c>
      <c r="C103" s="7" t="s">
        <v>380</v>
      </c>
      <c r="D103" s="7" t="s">
        <v>281</v>
      </c>
    </row>
    <row r="104" ht="15.75" customHeight="1">
      <c r="A104" s="7" t="s">
        <v>177</v>
      </c>
      <c r="B104" s="7" t="s">
        <v>178</v>
      </c>
      <c r="C104" s="7" t="s">
        <v>381</v>
      </c>
      <c r="D104" s="7" t="s">
        <v>279</v>
      </c>
    </row>
    <row r="105" ht="15.75" customHeight="1">
      <c r="A105" s="7" t="s">
        <v>177</v>
      </c>
      <c r="B105" s="7" t="s">
        <v>178</v>
      </c>
      <c r="C105" s="7" t="s">
        <v>382</v>
      </c>
      <c r="D105" s="7" t="s">
        <v>281</v>
      </c>
    </row>
    <row r="106" ht="15.75" customHeight="1">
      <c r="A106" s="7" t="s">
        <v>179</v>
      </c>
      <c r="B106" s="7" t="s">
        <v>180</v>
      </c>
      <c r="C106" s="7" t="s">
        <v>383</v>
      </c>
      <c r="D106" s="7" t="s">
        <v>279</v>
      </c>
    </row>
    <row r="107" ht="15.75" customHeight="1">
      <c r="A107" s="7" t="s">
        <v>179</v>
      </c>
      <c r="B107" s="7" t="s">
        <v>180</v>
      </c>
      <c r="C107" s="7" t="s">
        <v>384</v>
      </c>
      <c r="D107" s="7" t="s">
        <v>281</v>
      </c>
    </row>
    <row r="108" ht="15.75" customHeight="1">
      <c r="A108" s="7" t="s">
        <v>179</v>
      </c>
      <c r="B108" s="7" t="s">
        <v>180</v>
      </c>
      <c r="C108" s="7" t="s">
        <v>385</v>
      </c>
      <c r="D108" s="7" t="s">
        <v>281</v>
      </c>
    </row>
    <row r="109" ht="15.75" customHeight="1">
      <c r="A109" s="7" t="s">
        <v>179</v>
      </c>
      <c r="B109" s="7" t="s">
        <v>180</v>
      </c>
      <c r="C109" s="7" t="s">
        <v>386</v>
      </c>
      <c r="D109" s="7" t="s">
        <v>281</v>
      </c>
    </row>
    <row r="110" ht="15.75" customHeight="1">
      <c r="A110" s="7" t="s">
        <v>181</v>
      </c>
      <c r="B110" s="7" t="s">
        <v>182</v>
      </c>
      <c r="C110" s="7" t="s">
        <v>387</v>
      </c>
      <c r="D110" s="7" t="s">
        <v>279</v>
      </c>
    </row>
    <row r="111" ht="15.75" customHeight="1">
      <c r="A111" s="7" t="s">
        <v>181</v>
      </c>
      <c r="B111" s="7" t="s">
        <v>182</v>
      </c>
      <c r="C111" s="7" t="s">
        <v>388</v>
      </c>
      <c r="D111" s="7" t="s">
        <v>281</v>
      </c>
    </row>
    <row r="112" ht="15.75" customHeight="1">
      <c r="A112" s="7" t="s">
        <v>183</v>
      </c>
      <c r="B112" s="7" t="s">
        <v>184</v>
      </c>
      <c r="C112" s="7" t="s">
        <v>389</v>
      </c>
      <c r="D112" s="7" t="s">
        <v>279</v>
      </c>
    </row>
    <row r="113" ht="15.75" customHeight="1">
      <c r="A113" s="7" t="s">
        <v>183</v>
      </c>
      <c r="B113" s="7" t="s">
        <v>184</v>
      </c>
      <c r="C113" s="7" t="s">
        <v>390</v>
      </c>
      <c r="D113" s="7" t="s">
        <v>281</v>
      </c>
    </row>
    <row r="114" ht="15.75" customHeight="1">
      <c r="A114" s="7" t="s">
        <v>185</v>
      </c>
      <c r="B114" s="7" t="s">
        <v>186</v>
      </c>
      <c r="C114" s="7" t="s">
        <v>391</v>
      </c>
      <c r="D114" s="7" t="s">
        <v>279</v>
      </c>
    </row>
    <row r="115" ht="15.75" customHeight="1">
      <c r="A115" s="7" t="s">
        <v>185</v>
      </c>
      <c r="B115" s="7" t="s">
        <v>186</v>
      </c>
      <c r="C115" s="7" t="s">
        <v>392</v>
      </c>
      <c r="D115" s="7" t="s">
        <v>281</v>
      </c>
    </row>
    <row r="116" ht="15.75" customHeight="1">
      <c r="A116" s="7" t="s">
        <v>185</v>
      </c>
      <c r="B116" s="7" t="s">
        <v>186</v>
      </c>
      <c r="C116" s="7" t="s">
        <v>393</v>
      </c>
      <c r="D116" s="7" t="s">
        <v>281</v>
      </c>
    </row>
    <row r="117" ht="15.75" customHeight="1">
      <c r="A117" s="7" t="s">
        <v>187</v>
      </c>
      <c r="B117" s="7" t="s">
        <v>188</v>
      </c>
      <c r="C117" s="7" t="s">
        <v>394</v>
      </c>
      <c r="D117" s="7" t="s">
        <v>279</v>
      </c>
    </row>
    <row r="118" ht="15.75" customHeight="1">
      <c r="A118" s="7" t="s">
        <v>187</v>
      </c>
      <c r="B118" s="7" t="s">
        <v>188</v>
      </c>
      <c r="C118" s="7" t="s">
        <v>395</v>
      </c>
      <c r="D118" s="7" t="s">
        <v>281</v>
      </c>
    </row>
    <row r="119" ht="15.75" customHeight="1">
      <c r="A119" s="7" t="s">
        <v>187</v>
      </c>
      <c r="B119" s="7" t="s">
        <v>188</v>
      </c>
      <c r="C119" s="7" t="s">
        <v>396</v>
      </c>
      <c r="D119" s="7" t="s">
        <v>281</v>
      </c>
    </row>
    <row r="120" ht="15.75" customHeight="1">
      <c r="A120" s="7" t="s">
        <v>189</v>
      </c>
      <c r="B120" s="7" t="s">
        <v>190</v>
      </c>
      <c r="C120" s="7" t="s">
        <v>397</v>
      </c>
      <c r="D120" s="7" t="s">
        <v>279</v>
      </c>
    </row>
    <row r="121" ht="15.75" customHeight="1">
      <c r="A121" s="7" t="s">
        <v>191</v>
      </c>
      <c r="B121" s="7" t="s">
        <v>192</v>
      </c>
      <c r="C121" s="7" t="s">
        <v>398</v>
      </c>
      <c r="D121" s="7" t="s">
        <v>279</v>
      </c>
    </row>
    <row r="122" ht="15.75" customHeight="1">
      <c r="A122" s="7" t="s">
        <v>193</v>
      </c>
      <c r="B122" s="7" t="s">
        <v>194</v>
      </c>
      <c r="C122" s="7" t="s">
        <v>399</v>
      </c>
      <c r="D122" s="7" t="s">
        <v>279</v>
      </c>
    </row>
    <row r="123" ht="15.75" customHeight="1">
      <c r="A123" s="7" t="s">
        <v>195</v>
      </c>
      <c r="B123" s="7" t="s">
        <v>196</v>
      </c>
      <c r="C123" s="7" t="s">
        <v>400</v>
      </c>
      <c r="D123" s="7" t="s">
        <v>279</v>
      </c>
    </row>
    <row r="124" ht="15.75" customHeight="1">
      <c r="A124" s="7" t="s">
        <v>197</v>
      </c>
      <c r="B124" s="7" t="s">
        <v>198</v>
      </c>
      <c r="C124" s="7" t="s">
        <v>401</v>
      </c>
      <c r="D124" s="7" t="s">
        <v>279</v>
      </c>
    </row>
    <row r="125" ht="15.75" customHeight="1">
      <c r="A125" s="7" t="s">
        <v>197</v>
      </c>
      <c r="B125" s="7" t="s">
        <v>198</v>
      </c>
      <c r="C125" s="7" t="s">
        <v>402</v>
      </c>
      <c r="D125" s="7" t="s">
        <v>281</v>
      </c>
    </row>
    <row r="126" ht="15.75" customHeight="1">
      <c r="A126" s="7" t="s">
        <v>199</v>
      </c>
      <c r="B126" s="7" t="s">
        <v>200</v>
      </c>
      <c r="C126" s="7" t="s">
        <v>403</v>
      </c>
      <c r="D126" s="7" t="s">
        <v>279</v>
      </c>
    </row>
    <row r="127" ht="15.75" customHeight="1">
      <c r="A127" s="7" t="s">
        <v>201</v>
      </c>
      <c r="B127" s="7" t="s">
        <v>202</v>
      </c>
      <c r="C127" s="7" t="s">
        <v>404</v>
      </c>
      <c r="D127" s="7" t="s">
        <v>279</v>
      </c>
    </row>
    <row r="128" ht="15.75" customHeight="1">
      <c r="A128" s="7" t="s">
        <v>203</v>
      </c>
      <c r="B128" s="7" t="s">
        <v>204</v>
      </c>
      <c r="C128" s="7" t="s">
        <v>405</v>
      </c>
      <c r="D128" s="7" t="s">
        <v>279</v>
      </c>
    </row>
    <row r="129" ht="15.75" customHeight="1">
      <c r="A129" s="7" t="s">
        <v>203</v>
      </c>
      <c r="B129" s="7" t="s">
        <v>204</v>
      </c>
      <c r="C129" s="7" t="s">
        <v>406</v>
      </c>
      <c r="D129" s="7" t="s">
        <v>281</v>
      </c>
    </row>
    <row r="130" ht="15.75" customHeight="1">
      <c r="A130" s="7" t="s">
        <v>205</v>
      </c>
      <c r="B130" s="7" t="s">
        <v>206</v>
      </c>
      <c r="C130" s="7" t="s">
        <v>407</v>
      </c>
      <c r="D130" s="7" t="s">
        <v>279</v>
      </c>
    </row>
    <row r="131" ht="15.75" customHeight="1">
      <c r="A131" s="7" t="s">
        <v>207</v>
      </c>
      <c r="B131" s="7" t="s">
        <v>208</v>
      </c>
      <c r="C131" s="7" t="s">
        <v>408</v>
      </c>
      <c r="D131" s="7" t="s">
        <v>279</v>
      </c>
    </row>
    <row r="132" ht="15.75" customHeight="1">
      <c r="A132" s="7" t="s">
        <v>207</v>
      </c>
      <c r="B132" s="7" t="s">
        <v>208</v>
      </c>
      <c r="C132" s="7" t="s">
        <v>409</v>
      </c>
      <c r="D132" s="7" t="s">
        <v>281</v>
      </c>
    </row>
    <row r="133" ht="15.75" customHeight="1">
      <c r="A133" s="7" t="s">
        <v>207</v>
      </c>
      <c r="B133" s="7" t="s">
        <v>208</v>
      </c>
      <c r="C133" s="7" t="s">
        <v>410</v>
      </c>
      <c r="D133" s="7" t="s">
        <v>281</v>
      </c>
    </row>
    <row r="134" ht="15.75" customHeight="1">
      <c r="A134" s="7" t="s">
        <v>209</v>
      </c>
      <c r="B134" s="7" t="s">
        <v>210</v>
      </c>
      <c r="C134" s="7" t="s">
        <v>411</v>
      </c>
      <c r="D134" s="7" t="s">
        <v>279</v>
      </c>
    </row>
    <row r="135" ht="15.75" customHeight="1">
      <c r="A135" s="7" t="s">
        <v>209</v>
      </c>
      <c r="B135" s="7" t="s">
        <v>210</v>
      </c>
      <c r="C135" s="7" t="s">
        <v>412</v>
      </c>
      <c r="D135" s="7" t="s">
        <v>281</v>
      </c>
    </row>
    <row r="136" ht="15.75" customHeight="1">
      <c r="A136" s="7" t="s">
        <v>209</v>
      </c>
      <c r="B136" s="7" t="s">
        <v>210</v>
      </c>
      <c r="C136" s="7" t="s">
        <v>413</v>
      </c>
      <c r="D136" s="7" t="s">
        <v>281</v>
      </c>
    </row>
    <row r="137" ht="15.75" customHeight="1">
      <c r="A137" s="7" t="s">
        <v>211</v>
      </c>
      <c r="B137" s="7" t="s">
        <v>212</v>
      </c>
      <c r="C137" s="7" t="s">
        <v>414</v>
      </c>
      <c r="D137" s="7" t="s">
        <v>279</v>
      </c>
    </row>
    <row r="138" ht="15.75" customHeight="1">
      <c r="A138" s="7" t="s">
        <v>213</v>
      </c>
      <c r="B138" s="7" t="s">
        <v>214</v>
      </c>
      <c r="C138" s="7" t="s">
        <v>415</v>
      </c>
      <c r="D138" s="7" t="s">
        <v>279</v>
      </c>
    </row>
    <row r="139" ht="15.75" customHeight="1">
      <c r="A139" s="7" t="s">
        <v>213</v>
      </c>
      <c r="B139" s="7" t="s">
        <v>214</v>
      </c>
      <c r="C139" s="7" t="s">
        <v>416</v>
      </c>
      <c r="D139" s="7" t="s">
        <v>281</v>
      </c>
    </row>
    <row r="140" ht="15.75" customHeight="1">
      <c r="A140" s="7" t="s">
        <v>215</v>
      </c>
      <c r="B140" s="7" t="s">
        <v>216</v>
      </c>
      <c r="C140" s="7" t="s">
        <v>417</v>
      </c>
      <c r="D140" s="7" t="s">
        <v>279</v>
      </c>
    </row>
    <row r="141" ht="15.75" customHeight="1">
      <c r="A141" s="7" t="s">
        <v>215</v>
      </c>
      <c r="B141" s="7" t="s">
        <v>216</v>
      </c>
      <c r="C141" s="7" t="s">
        <v>417</v>
      </c>
      <c r="D141" s="7" t="s">
        <v>281</v>
      </c>
    </row>
    <row r="142" ht="15.75" customHeight="1">
      <c r="A142" s="7" t="s">
        <v>217</v>
      </c>
      <c r="B142" s="7" t="s">
        <v>218</v>
      </c>
      <c r="C142" s="7" t="s">
        <v>418</v>
      </c>
      <c r="D142" s="7" t="s">
        <v>279</v>
      </c>
    </row>
    <row r="143" ht="15.75" customHeight="1">
      <c r="A143" s="7" t="s">
        <v>217</v>
      </c>
      <c r="B143" s="7" t="s">
        <v>218</v>
      </c>
      <c r="C143" s="7" t="s">
        <v>419</v>
      </c>
      <c r="D143" s="7" t="s">
        <v>281</v>
      </c>
    </row>
    <row r="144" ht="15.75" customHeight="1">
      <c r="A144" s="7" t="s">
        <v>217</v>
      </c>
      <c r="B144" s="7" t="s">
        <v>218</v>
      </c>
      <c r="C144" s="7" t="s">
        <v>420</v>
      </c>
      <c r="D144" s="7" t="s">
        <v>281</v>
      </c>
    </row>
    <row r="145" ht="15.75" customHeight="1">
      <c r="A145" s="7" t="s">
        <v>217</v>
      </c>
      <c r="B145" s="7" t="s">
        <v>218</v>
      </c>
      <c r="C145" s="7" t="s">
        <v>421</v>
      </c>
      <c r="D145" s="7" t="s">
        <v>281</v>
      </c>
    </row>
    <row r="146" ht="15.75" customHeight="1">
      <c r="A146" s="7" t="s">
        <v>219</v>
      </c>
      <c r="B146" s="7" t="s">
        <v>220</v>
      </c>
      <c r="C146" s="7" t="s">
        <v>422</v>
      </c>
      <c r="D146" s="7" t="s">
        <v>279</v>
      </c>
    </row>
    <row r="147" ht="15.75" customHeight="1">
      <c r="A147" s="7" t="s">
        <v>219</v>
      </c>
      <c r="B147" s="7" t="s">
        <v>220</v>
      </c>
      <c r="C147" s="7" t="s">
        <v>423</v>
      </c>
      <c r="D147" s="7" t="s">
        <v>281</v>
      </c>
    </row>
    <row r="148" ht="15.75" customHeight="1">
      <c r="A148" s="7" t="s">
        <v>219</v>
      </c>
      <c r="B148" s="7" t="s">
        <v>220</v>
      </c>
      <c r="C148" s="7" t="s">
        <v>424</v>
      </c>
      <c r="D148" s="7" t="s">
        <v>281</v>
      </c>
    </row>
    <row r="149" ht="15.75" customHeight="1">
      <c r="A149" s="7" t="s">
        <v>219</v>
      </c>
      <c r="B149" s="7" t="s">
        <v>220</v>
      </c>
      <c r="C149" s="7" t="s">
        <v>425</v>
      </c>
      <c r="D149" s="7" t="s">
        <v>281</v>
      </c>
    </row>
    <row r="150" ht="15.75" customHeight="1">
      <c r="A150" s="7" t="s">
        <v>221</v>
      </c>
      <c r="B150" s="7" t="s">
        <v>222</v>
      </c>
      <c r="C150" s="7" t="s">
        <v>426</v>
      </c>
      <c r="D150" s="7" t="s">
        <v>279</v>
      </c>
    </row>
    <row r="151" ht="15.75" customHeight="1">
      <c r="A151" s="7" t="s">
        <v>221</v>
      </c>
      <c r="B151" s="7" t="s">
        <v>222</v>
      </c>
      <c r="C151" s="7" t="s">
        <v>427</v>
      </c>
      <c r="D151" s="7" t="s">
        <v>281</v>
      </c>
    </row>
    <row r="152" ht="15.75" customHeight="1">
      <c r="A152" s="7" t="s">
        <v>221</v>
      </c>
      <c r="B152" s="7" t="s">
        <v>222</v>
      </c>
      <c r="C152" s="7" t="s">
        <v>428</v>
      </c>
      <c r="D152" s="7" t="s">
        <v>281</v>
      </c>
    </row>
    <row r="153" ht="15.75" customHeight="1">
      <c r="A153" s="7" t="s">
        <v>223</v>
      </c>
      <c r="B153" s="7" t="s">
        <v>224</v>
      </c>
      <c r="C153" s="7" t="s">
        <v>429</v>
      </c>
      <c r="D153" s="7" t="s">
        <v>279</v>
      </c>
    </row>
    <row r="154" ht="15.75" customHeight="1">
      <c r="A154" s="7" t="s">
        <v>223</v>
      </c>
      <c r="B154" s="7" t="s">
        <v>224</v>
      </c>
      <c r="C154" s="7" t="s">
        <v>430</v>
      </c>
      <c r="D154" s="7" t="s">
        <v>281</v>
      </c>
    </row>
    <row r="155" ht="15.75" customHeight="1">
      <c r="A155" s="7" t="s">
        <v>223</v>
      </c>
      <c r="B155" s="7" t="s">
        <v>224</v>
      </c>
      <c r="C155" s="7" t="s">
        <v>431</v>
      </c>
      <c r="D155" s="7" t="s">
        <v>281</v>
      </c>
    </row>
    <row r="156" ht="15.75" customHeight="1">
      <c r="A156" s="7" t="s">
        <v>223</v>
      </c>
      <c r="B156" s="7" t="s">
        <v>224</v>
      </c>
      <c r="C156" s="7" t="s">
        <v>432</v>
      </c>
      <c r="D156" s="7" t="s">
        <v>281</v>
      </c>
    </row>
    <row r="157" ht="15.75" customHeight="1">
      <c r="A157" s="7" t="s">
        <v>225</v>
      </c>
      <c r="B157" s="7" t="s">
        <v>226</v>
      </c>
      <c r="C157" s="7" t="s">
        <v>433</v>
      </c>
      <c r="D157" s="7" t="s">
        <v>279</v>
      </c>
    </row>
    <row r="158" ht="15.75" customHeight="1">
      <c r="A158" s="7" t="s">
        <v>225</v>
      </c>
      <c r="B158" s="7" t="s">
        <v>226</v>
      </c>
      <c r="C158" s="7" t="s">
        <v>434</v>
      </c>
      <c r="D158" s="7" t="s">
        <v>281</v>
      </c>
    </row>
    <row r="159" ht="15.75" customHeight="1">
      <c r="A159" s="7" t="s">
        <v>227</v>
      </c>
      <c r="B159" s="7" t="s">
        <v>228</v>
      </c>
      <c r="C159" s="7" t="s">
        <v>435</v>
      </c>
      <c r="D159" s="7" t="s">
        <v>279</v>
      </c>
    </row>
    <row r="160" ht="15.75" customHeight="1">
      <c r="A160" s="7" t="s">
        <v>227</v>
      </c>
      <c r="B160" s="7" t="s">
        <v>228</v>
      </c>
      <c r="C160" s="7" t="s">
        <v>436</v>
      </c>
      <c r="D160" s="7" t="s">
        <v>281</v>
      </c>
    </row>
    <row r="161" ht="15.75" customHeight="1">
      <c r="A161" s="7" t="s">
        <v>229</v>
      </c>
      <c r="B161" s="7" t="s">
        <v>230</v>
      </c>
      <c r="C161" s="7" t="s">
        <v>437</v>
      </c>
      <c r="D161" s="7" t="s">
        <v>279</v>
      </c>
    </row>
    <row r="162" ht="15.75" customHeight="1">
      <c r="A162" s="7" t="s">
        <v>229</v>
      </c>
      <c r="B162" s="7" t="s">
        <v>230</v>
      </c>
      <c r="C162" s="7" t="s">
        <v>438</v>
      </c>
      <c r="D162" s="7" t="s">
        <v>281</v>
      </c>
    </row>
    <row r="163" ht="15.75" customHeight="1">
      <c r="A163" s="7" t="s">
        <v>229</v>
      </c>
      <c r="B163" s="7" t="s">
        <v>230</v>
      </c>
      <c r="C163" s="7" t="s">
        <v>439</v>
      </c>
      <c r="D163" s="7" t="s">
        <v>281</v>
      </c>
    </row>
    <row r="164" ht="15.75" customHeight="1">
      <c r="A164" s="7" t="s">
        <v>229</v>
      </c>
      <c r="B164" s="7" t="s">
        <v>230</v>
      </c>
      <c r="C164" s="7" t="s">
        <v>440</v>
      </c>
      <c r="D164" s="7" t="s">
        <v>281</v>
      </c>
    </row>
    <row r="165" ht="15.75" customHeight="1">
      <c r="A165" s="7" t="s">
        <v>231</v>
      </c>
      <c r="B165" s="7" t="s">
        <v>232</v>
      </c>
      <c r="C165" s="7" t="s">
        <v>441</v>
      </c>
      <c r="D165" s="7" t="s">
        <v>279</v>
      </c>
    </row>
    <row r="166" ht="15.75" customHeight="1">
      <c r="A166" s="7" t="s">
        <v>231</v>
      </c>
      <c r="B166" s="7" t="s">
        <v>232</v>
      </c>
      <c r="C166" s="7" t="s">
        <v>442</v>
      </c>
      <c r="D166" s="7" t="s">
        <v>281</v>
      </c>
    </row>
    <row r="167" ht="15.75" customHeight="1">
      <c r="A167" s="7" t="s">
        <v>233</v>
      </c>
      <c r="B167" s="7" t="s">
        <v>234</v>
      </c>
      <c r="C167" s="7" t="s">
        <v>443</v>
      </c>
      <c r="D167" s="7" t="s">
        <v>279</v>
      </c>
    </row>
    <row r="168" ht="15.75" customHeight="1">
      <c r="A168" s="7" t="s">
        <v>233</v>
      </c>
      <c r="B168" s="7" t="s">
        <v>234</v>
      </c>
      <c r="C168" s="7" t="s">
        <v>444</v>
      </c>
      <c r="D168" s="7" t="s">
        <v>281</v>
      </c>
    </row>
    <row r="169" ht="15.75" customHeight="1">
      <c r="A169" s="7" t="s">
        <v>235</v>
      </c>
      <c r="B169" s="7" t="s">
        <v>236</v>
      </c>
      <c r="C169" s="7" t="s">
        <v>445</v>
      </c>
      <c r="D169" s="7" t="s">
        <v>279</v>
      </c>
    </row>
    <row r="170" ht="15.75" customHeight="1">
      <c r="A170" s="7" t="s">
        <v>235</v>
      </c>
      <c r="B170" s="7" t="s">
        <v>236</v>
      </c>
      <c r="C170" s="7" t="s">
        <v>446</v>
      </c>
      <c r="D170" s="7" t="s">
        <v>281</v>
      </c>
    </row>
    <row r="171" ht="15.75" customHeight="1">
      <c r="A171" s="7" t="s">
        <v>237</v>
      </c>
      <c r="B171" s="7" t="s">
        <v>238</v>
      </c>
      <c r="C171" s="7" t="s">
        <v>447</v>
      </c>
      <c r="D171" s="7" t="s">
        <v>279</v>
      </c>
    </row>
    <row r="172" ht="15.75" customHeight="1">
      <c r="A172" s="7" t="s">
        <v>237</v>
      </c>
      <c r="B172" s="7" t="s">
        <v>238</v>
      </c>
      <c r="C172" s="7" t="s">
        <v>448</v>
      </c>
      <c r="D172" s="7" t="s">
        <v>281</v>
      </c>
    </row>
    <row r="173" ht="15.75" customHeight="1">
      <c r="A173" s="7" t="s">
        <v>239</v>
      </c>
      <c r="B173" s="7" t="s">
        <v>240</v>
      </c>
      <c r="C173" s="7" t="s">
        <v>449</v>
      </c>
      <c r="D173" s="7" t="s">
        <v>279</v>
      </c>
    </row>
    <row r="174" ht="15.75" customHeight="1">
      <c r="A174" s="7" t="s">
        <v>239</v>
      </c>
      <c r="B174" s="7" t="s">
        <v>240</v>
      </c>
      <c r="C174" s="7" t="s">
        <v>450</v>
      </c>
      <c r="D174" s="7" t="s">
        <v>281</v>
      </c>
    </row>
    <row r="175" ht="15.75" customHeight="1">
      <c r="A175" s="7" t="s">
        <v>241</v>
      </c>
      <c r="B175" s="7" t="s">
        <v>242</v>
      </c>
      <c r="C175" s="7" t="s">
        <v>301</v>
      </c>
      <c r="D175" s="7" t="s">
        <v>279</v>
      </c>
    </row>
    <row r="176" ht="15.75" customHeight="1">
      <c r="A176" s="7" t="s">
        <v>241</v>
      </c>
      <c r="B176" s="7" t="s">
        <v>242</v>
      </c>
      <c r="C176" s="7" t="s">
        <v>451</v>
      </c>
      <c r="D176" s="7" t="s">
        <v>281</v>
      </c>
    </row>
    <row r="177" ht="15.75" customHeight="1">
      <c r="A177" s="7" t="s">
        <v>243</v>
      </c>
      <c r="B177" s="7" t="s">
        <v>244</v>
      </c>
      <c r="C177" s="7" t="s">
        <v>452</v>
      </c>
      <c r="D177" s="7" t="s">
        <v>279</v>
      </c>
    </row>
    <row r="178" ht="15.75" customHeight="1">
      <c r="A178" s="7" t="s">
        <v>243</v>
      </c>
      <c r="B178" s="7" t="s">
        <v>244</v>
      </c>
      <c r="C178" s="7" t="s">
        <v>453</v>
      </c>
      <c r="D178" s="7" t="s">
        <v>281</v>
      </c>
    </row>
    <row r="179" ht="15.75" customHeight="1">
      <c r="A179" s="7" t="s">
        <v>245</v>
      </c>
      <c r="B179" s="7" t="s">
        <v>246</v>
      </c>
      <c r="C179" s="7" t="s">
        <v>294</v>
      </c>
      <c r="D179" s="7" t="s">
        <v>279</v>
      </c>
    </row>
    <row r="180" ht="15.75" customHeight="1">
      <c r="A180" s="7" t="s">
        <v>245</v>
      </c>
      <c r="B180" s="7" t="s">
        <v>246</v>
      </c>
      <c r="C180" s="7" t="s">
        <v>454</v>
      </c>
      <c r="D180" s="7" t="s">
        <v>281</v>
      </c>
    </row>
    <row r="181" ht="15.75" customHeight="1">
      <c r="A181" s="7" t="s">
        <v>245</v>
      </c>
      <c r="B181" s="7" t="s">
        <v>246</v>
      </c>
      <c r="C181" s="7" t="s">
        <v>455</v>
      </c>
      <c r="D181" s="7" t="s">
        <v>281</v>
      </c>
    </row>
    <row r="182" ht="15.75" customHeight="1">
      <c r="A182" s="7" t="s">
        <v>245</v>
      </c>
      <c r="B182" s="7" t="s">
        <v>246</v>
      </c>
      <c r="C182" s="7" t="s">
        <v>456</v>
      </c>
      <c r="D182" s="7" t="s">
        <v>281</v>
      </c>
    </row>
    <row r="183" ht="15.75" customHeight="1">
      <c r="A183" s="7" t="s">
        <v>247</v>
      </c>
      <c r="B183" s="7" t="s">
        <v>248</v>
      </c>
      <c r="C183" s="7" t="s">
        <v>457</v>
      </c>
      <c r="D183" s="7" t="s">
        <v>279</v>
      </c>
    </row>
    <row r="184" ht="15.75" customHeight="1">
      <c r="A184" s="7" t="s">
        <v>249</v>
      </c>
      <c r="B184" s="7" t="s">
        <v>250</v>
      </c>
      <c r="C184" s="7" t="s">
        <v>458</v>
      </c>
      <c r="D184" s="7" t="s">
        <v>279</v>
      </c>
    </row>
    <row r="185" ht="15.75" customHeight="1">
      <c r="A185" s="7" t="s">
        <v>249</v>
      </c>
      <c r="B185" s="7" t="s">
        <v>250</v>
      </c>
      <c r="C185" s="7" t="s">
        <v>459</v>
      </c>
      <c r="D185" s="7" t="s">
        <v>281</v>
      </c>
    </row>
    <row r="186" ht="15.75" customHeight="1">
      <c r="A186" s="7" t="s">
        <v>249</v>
      </c>
      <c r="B186" s="7" t="s">
        <v>250</v>
      </c>
      <c r="C186" s="7" t="s">
        <v>460</v>
      </c>
      <c r="D186" s="7" t="s">
        <v>281</v>
      </c>
    </row>
    <row r="187" ht="15.75" customHeight="1">
      <c r="A187" s="7" t="s">
        <v>249</v>
      </c>
      <c r="B187" s="7" t="s">
        <v>250</v>
      </c>
      <c r="C187" s="7" t="s">
        <v>461</v>
      </c>
      <c r="D187" s="7" t="s">
        <v>281</v>
      </c>
    </row>
    <row r="188" ht="15.75" customHeight="1">
      <c r="A188" s="7" t="s">
        <v>251</v>
      </c>
      <c r="B188" s="7" t="s">
        <v>252</v>
      </c>
      <c r="C188" s="7" t="s">
        <v>462</v>
      </c>
      <c r="D188" s="7" t="s">
        <v>279</v>
      </c>
    </row>
    <row r="189" ht="15.75" customHeight="1">
      <c r="A189" s="7" t="s">
        <v>251</v>
      </c>
      <c r="B189" s="7" t="s">
        <v>252</v>
      </c>
      <c r="C189" s="7" t="s">
        <v>463</v>
      </c>
      <c r="D189" s="7" t="s">
        <v>281</v>
      </c>
    </row>
    <row r="190" ht="15.75" customHeight="1">
      <c r="A190" s="7" t="s">
        <v>253</v>
      </c>
      <c r="B190" s="7" t="s">
        <v>254</v>
      </c>
      <c r="C190" s="7" t="s">
        <v>464</v>
      </c>
      <c r="D190" s="7" t="s">
        <v>279</v>
      </c>
    </row>
    <row r="191" ht="15.75" customHeight="1">
      <c r="A191" s="7" t="s">
        <v>253</v>
      </c>
      <c r="B191" s="7" t="s">
        <v>254</v>
      </c>
      <c r="C191" s="7" t="s">
        <v>465</v>
      </c>
      <c r="D191" s="7" t="s">
        <v>281</v>
      </c>
    </row>
    <row r="192" ht="15.75" customHeight="1">
      <c r="A192" s="7" t="s">
        <v>253</v>
      </c>
      <c r="B192" s="7" t="s">
        <v>254</v>
      </c>
      <c r="C192" s="7" t="s">
        <v>466</v>
      </c>
      <c r="D192" s="7" t="s">
        <v>281</v>
      </c>
    </row>
    <row r="193" ht="15.75" customHeight="1">
      <c r="A193" s="7" t="s">
        <v>256</v>
      </c>
      <c r="B193" s="7" t="s">
        <v>257</v>
      </c>
      <c r="C193" s="7" t="s">
        <v>467</v>
      </c>
      <c r="D193" s="7" t="s">
        <v>279</v>
      </c>
    </row>
    <row r="194" ht="15.75" customHeight="1">
      <c r="A194" s="7" t="s">
        <v>256</v>
      </c>
      <c r="B194" s="7" t="s">
        <v>257</v>
      </c>
      <c r="C194" s="7" t="s">
        <v>468</v>
      </c>
      <c r="D194" s="7" t="s">
        <v>281</v>
      </c>
    </row>
    <row r="195" ht="15.75" customHeight="1">
      <c r="A195" s="7" t="s">
        <v>258</v>
      </c>
      <c r="B195" s="7" t="s">
        <v>259</v>
      </c>
      <c r="C195" s="7" t="s">
        <v>469</v>
      </c>
      <c r="D195" s="7" t="s">
        <v>279</v>
      </c>
    </row>
    <row r="196" ht="15.75" customHeight="1">
      <c r="A196" s="7" t="s">
        <v>258</v>
      </c>
      <c r="B196" s="7" t="s">
        <v>259</v>
      </c>
      <c r="C196" s="7" t="s">
        <v>470</v>
      </c>
      <c r="D196" s="7" t="s">
        <v>281</v>
      </c>
    </row>
    <row r="197" ht="15.75" customHeight="1">
      <c r="A197" s="7" t="s">
        <v>258</v>
      </c>
      <c r="B197" s="7" t="s">
        <v>259</v>
      </c>
      <c r="C197" s="7" t="s">
        <v>471</v>
      </c>
      <c r="D197" s="7" t="s">
        <v>281</v>
      </c>
    </row>
    <row r="198" ht="15.75" customHeight="1">
      <c r="A198" s="7" t="s">
        <v>258</v>
      </c>
      <c r="B198" s="7" t="s">
        <v>259</v>
      </c>
      <c r="C198" s="7" t="s">
        <v>472</v>
      </c>
      <c r="D198" s="7" t="s">
        <v>281</v>
      </c>
    </row>
    <row r="199" ht="15.75" customHeight="1">
      <c r="A199" s="7" t="s">
        <v>260</v>
      </c>
      <c r="B199" s="7" t="s">
        <v>261</v>
      </c>
      <c r="C199" s="7" t="s">
        <v>473</v>
      </c>
      <c r="D199" s="7" t="s">
        <v>279</v>
      </c>
    </row>
    <row r="200" ht="15.75" customHeight="1">
      <c r="A200" s="7" t="s">
        <v>260</v>
      </c>
      <c r="B200" s="7" t="s">
        <v>261</v>
      </c>
      <c r="C200" s="7" t="s">
        <v>474</v>
      </c>
      <c r="D200" s="7" t="s">
        <v>281</v>
      </c>
    </row>
    <row r="201" ht="15.75" customHeight="1">
      <c r="A201" s="7" t="s">
        <v>262</v>
      </c>
      <c r="B201" s="7" t="s">
        <v>263</v>
      </c>
      <c r="C201" s="7" t="s">
        <v>475</v>
      </c>
      <c r="D201" s="7" t="s">
        <v>279</v>
      </c>
    </row>
    <row r="202" ht="15.75" customHeight="1">
      <c r="A202" s="7" t="s">
        <v>262</v>
      </c>
      <c r="B202" s="7" t="s">
        <v>263</v>
      </c>
      <c r="C202" s="7" t="s">
        <v>476</v>
      </c>
      <c r="D202" s="7" t="s">
        <v>281</v>
      </c>
    </row>
    <row r="203" ht="15.75" customHeight="1">
      <c r="A203" s="7" t="s">
        <v>262</v>
      </c>
      <c r="B203" s="7" t="s">
        <v>263</v>
      </c>
      <c r="C203" s="7" t="s">
        <v>477</v>
      </c>
      <c r="D203" s="7" t="s">
        <v>281</v>
      </c>
    </row>
    <row r="204" ht="15.75" customHeight="1">
      <c r="A204" s="7" t="s">
        <v>264</v>
      </c>
      <c r="B204" s="7" t="s">
        <v>265</v>
      </c>
      <c r="C204" s="7" t="s">
        <v>478</v>
      </c>
      <c r="D204" s="7" t="s">
        <v>279</v>
      </c>
    </row>
    <row r="205" ht="15.75" customHeight="1">
      <c r="A205" s="7" t="s">
        <v>264</v>
      </c>
      <c r="B205" s="7" t="s">
        <v>265</v>
      </c>
      <c r="C205" s="7" t="s">
        <v>479</v>
      </c>
      <c r="D205" s="7" t="s">
        <v>281</v>
      </c>
    </row>
    <row r="206" ht="15.75" customHeight="1">
      <c r="A206" s="7" t="s">
        <v>266</v>
      </c>
      <c r="B206" s="7" t="s">
        <v>267</v>
      </c>
      <c r="C206" s="7" t="s">
        <v>480</v>
      </c>
      <c r="D206" s="7" t="s">
        <v>279</v>
      </c>
    </row>
    <row r="207" ht="15.75" customHeight="1">
      <c r="A207" s="7" t="s">
        <v>266</v>
      </c>
      <c r="B207" s="7" t="s">
        <v>267</v>
      </c>
      <c r="C207" s="7" t="s">
        <v>481</v>
      </c>
      <c r="D207" s="7" t="s">
        <v>281</v>
      </c>
    </row>
    <row r="208" ht="15.75" customHeight="1">
      <c r="A208" s="7" t="s">
        <v>266</v>
      </c>
      <c r="B208" s="7" t="s">
        <v>267</v>
      </c>
      <c r="C208" s="7" t="s">
        <v>444</v>
      </c>
      <c r="D208" s="7" t="s">
        <v>281</v>
      </c>
    </row>
    <row r="209" ht="15.75" customHeight="1">
      <c r="A209" s="7" t="s">
        <v>266</v>
      </c>
      <c r="B209" s="7" t="s">
        <v>267</v>
      </c>
      <c r="C209" s="7" t="s">
        <v>464</v>
      </c>
      <c r="D209" s="7" t="s">
        <v>281</v>
      </c>
    </row>
    <row r="210" ht="15.75" customHeight="1">
      <c r="A210" s="7" t="s">
        <v>268</v>
      </c>
      <c r="B210" s="7" t="s">
        <v>269</v>
      </c>
      <c r="C210" s="7" t="s">
        <v>482</v>
      </c>
      <c r="D210" s="7" t="s">
        <v>279</v>
      </c>
    </row>
    <row r="211" ht="15.75" customHeight="1">
      <c r="A211" s="7" t="s">
        <v>268</v>
      </c>
      <c r="B211" s="7" t="s">
        <v>269</v>
      </c>
      <c r="C211" s="7" t="s">
        <v>483</v>
      </c>
      <c r="D211" s="7" t="s">
        <v>281</v>
      </c>
    </row>
    <row r="212" ht="15.75" customHeight="1">
      <c r="A212" s="7" t="s">
        <v>270</v>
      </c>
      <c r="B212" s="7" t="s">
        <v>271</v>
      </c>
      <c r="C212" s="7" t="s">
        <v>484</v>
      </c>
      <c r="D212" s="7" t="s">
        <v>279</v>
      </c>
    </row>
    <row r="213" ht="15.75" customHeight="1">
      <c r="A213" s="7" t="s">
        <v>270</v>
      </c>
      <c r="B213" s="7" t="s">
        <v>271</v>
      </c>
      <c r="C213" s="7" t="s">
        <v>485</v>
      </c>
      <c r="D213" s="7" t="s">
        <v>281</v>
      </c>
    </row>
    <row r="214" ht="15.75" customHeight="1">
      <c r="A214" s="7" t="s">
        <v>272</v>
      </c>
      <c r="B214" s="7" t="s">
        <v>273</v>
      </c>
      <c r="C214" s="7" t="s">
        <v>486</v>
      </c>
      <c r="D214" s="7" t="s">
        <v>279</v>
      </c>
    </row>
    <row r="215" ht="15.75" customHeight="1">
      <c r="A215" s="7" t="s">
        <v>272</v>
      </c>
      <c r="B215" s="7" t="s">
        <v>273</v>
      </c>
      <c r="C215" s="7" t="s">
        <v>487</v>
      </c>
      <c r="D215" s="7" t="s">
        <v>281</v>
      </c>
    </row>
    <row r="216" ht="15.75" customHeight="1">
      <c r="A216" s="7" t="s">
        <v>272</v>
      </c>
      <c r="B216" s="7" t="s">
        <v>273</v>
      </c>
      <c r="C216" s="7" t="s">
        <v>488</v>
      </c>
      <c r="D216" s="7" t="s">
        <v>281</v>
      </c>
    </row>
    <row r="217" ht="15.75" customHeight="1">
      <c r="A217" s="7" t="s">
        <v>272</v>
      </c>
      <c r="B217" s="7" t="s">
        <v>273</v>
      </c>
      <c r="C217" s="7" t="s">
        <v>489</v>
      </c>
      <c r="D217" s="7" t="s">
        <v>281</v>
      </c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24.0"/>
    <col customWidth="1" min="4" max="4" width="14.0"/>
    <col customWidth="1" min="5" max="5" width="16.0"/>
    <col customWidth="1" min="6" max="6" width="22.0"/>
    <col customWidth="1" min="7" max="7" width="18.0"/>
    <col customWidth="1" min="8" max="8" width="16.0"/>
    <col customWidth="1" min="9" max="26" width="8.71"/>
  </cols>
  <sheetData>
    <row r="1">
      <c r="A1" s="3"/>
      <c r="B1" s="3" t="s">
        <v>70</v>
      </c>
      <c r="C1" s="3" t="s">
        <v>276</v>
      </c>
      <c r="D1" s="3" t="s">
        <v>277</v>
      </c>
      <c r="E1" s="3" t="s">
        <v>490</v>
      </c>
      <c r="F1" s="3" t="s">
        <v>491</v>
      </c>
      <c r="G1" s="3" t="s">
        <v>492</v>
      </c>
      <c r="H1" s="3" t="s">
        <v>493</v>
      </c>
    </row>
    <row r="2">
      <c r="A2" s="7" t="s">
        <v>79</v>
      </c>
      <c r="B2" s="7" t="s">
        <v>80</v>
      </c>
      <c r="C2" s="7" t="s">
        <v>278</v>
      </c>
      <c r="D2" s="7" t="s">
        <v>279</v>
      </c>
      <c r="E2" s="18">
        <v>2.0</v>
      </c>
      <c r="F2" s="18">
        <v>1.0</v>
      </c>
      <c r="G2" s="19">
        <v>0.0</v>
      </c>
      <c r="H2" s="6">
        <f>E2*PV_SESSION+F2*PV_CHALLENGE+G2*PV_WIN</f>
        <v>30</v>
      </c>
    </row>
    <row r="3">
      <c r="A3" s="7" t="s">
        <v>79</v>
      </c>
      <c r="B3" s="7" t="s">
        <v>80</v>
      </c>
      <c r="C3" s="7" t="s">
        <v>280</v>
      </c>
      <c r="D3" s="7" t="s">
        <v>281</v>
      </c>
      <c r="E3" s="18">
        <v>2.0</v>
      </c>
      <c r="F3" s="18">
        <v>1.0</v>
      </c>
      <c r="G3" s="19">
        <v>0.0</v>
      </c>
      <c r="H3" s="6">
        <f>E3*PV_SESSION+F3*PV_CHALLENGE+G3*PV_WIN</f>
        <v>30</v>
      </c>
    </row>
    <row r="4">
      <c r="A4" s="7" t="s">
        <v>79</v>
      </c>
      <c r="B4" s="7" t="s">
        <v>80</v>
      </c>
      <c r="C4" s="7" t="s">
        <v>282</v>
      </c>
      <c r="D4" s="7" t="s">
        <v>281</v>
      </c>
      <c r="E4" s="18">
        <v>2.0</v>
      </c>
      <c r="F4" s="18">
        <v>1.0</v>
      </c>
      <c r="G4" s="18">
        <v>1.0</v>
      </c>
      <c r="H4" s="6">
        <f>E4*PV_SESSION+F4*PV_CHALLENGE+G4*PV_WIN</f>
        <v>60</v>
      </c>
    </row>
    <row r="5">
      <c r="A5" s="7" t="s">
        <v>79</v>
      </c>
      <c r="B5" s="7" t="s">
        <v>80</v>
      </c>
      <c r="C5" s="7" t="s">
        <v>283</v>
      </c>
      <c r="D5" s="7" t="s">
        <v>281</v>
      </c>
      <c r="E5" s="18">
        <v>2.0</v>
      </c>
      <c r="F5" s="18">
        <v>1.0</v>
      </c>
      <c r="G5" s="19">
        <v>0.0</v>
      </c>
      <c r="H5" s="6">
        <f>E5*PV_SESSION+F5*PV_CHALLENGE+G5*PV_WIN</f>
        <v>30</v>
      </c>
    </row>
    <row r="6">
      <c r="A6" s="7" t="s">
        <v>82</v>
      </c>
      <c r="B6" s="7" t="s">
        <v>83</v>
      </c>
      <c r="C6" s="7" t="s">
        <v>284</v>
      </c>
      <c r="D6" s="7" t="s">
        <v>279</v>
      </c>
      <c r="E6" s="18">
        <v>2.0</v>
      </c>
      <c r="F6" s="18">
        <v>1.0</v>
      </c>
      <c r="G6" s="19">
        <v>0.0</v>
      </c>
      <c r="H6" s="6">
        <f>E6*PV_SESSION+F6*PV_CHALLENGE+G6*PV_WIN</f>
        <v>30</v>
      </c>
    </row>
    <row r="7">
      <c r="A7" s="7" t="s">
        <v>82</v>
      </c>
      <c r="B7" s="7" t="s">
        <v>83</v>
      </c>
      <c r="C7" s="7" t="s">
        <v>285</v>
      </c>
      <c r="D7" s="7" t="s">
        <v>281</v>
      </c>
      <c r="E7" s="18">
        <v>2.0</v>
      </c>
      <c r="F7" s="18">
        <v>1.0</v>
      </c>
      <c r="G7" s="19">
        <v>0.0</v>
      </c>
      <c r="H7" s="6">
        <f>E7*PV_SESSION+F7*PV_CHALLENGE+G7*PV_WIN</f>
        <v>30</v>
      </c>
    </row>
    <row r="8">
      <c r="A8" s="7" t="s">
        <v>84</v>
      </c>
      <c r="B8" s="7" t="s">
        <v>85</v>
      </c>
      <c r="C8" s="7" t="s">
        <v>286</v>
      </c>
      <c r="D8" s="7" t="s">
        <v>279</v>
      </c>
      <c r="E8" s="19">
        <v>0.0</v>
      </c>
      <c r="F8" s="19">
        <v>0.0</v>
      </c>
      <c r="G8" s="19">
        <v>0.0</v>
      </c>
      <c r="H8" s="6">
        <f>E8*PV_SESSION+F8*PV_CHALLENGE+G8*PV_WIN</f>
        <v>0</v>
      </c>
    </row>
    <row r="9">
      <c r="A9" s="7" t="s">
        <v>84</v>
      </c>
      <c r="B9" s="7" t="s">
        <v>85</v>
      </c>
      <c r="C9" s="7" t="s">
        <v>287</v>
      </c>
      <c r="D9" s="7" t="s">
        <v>281</v>
      </c>
      <c r="E9" s="19">
        <v>0.0</v>
      </c>
      <c r="F9" s="19">
        <v>0.0</v>
      </c>
      <c r="G9" s="19">
        <v>0.0</v>
      </c>
      <c r="H9" s="6">
        <f>E9*PV_SESSION+F9*PV_CHALLENGE+G9*PV_WIN</f>
        <v>0</v>
      </c>
    </row>
    <row r="10">
      <c r="A10" s="7" t="s">
        <v>87</v>
      </c>
      <c r="B10" s="7" t="s">
        <v>88</v>
      </c>
      <c r="C10" s="7" t="s">
        <v>288</v>
      </c>
      <c r="D10" s="7" t="s">
        <v>279</v>
      </c>
      <c r="E10" s="18">
        <v>2.0</v>
      </c>
      <c r="F10" s="19">
        <v>0.0</v>
      </c>
      <c r="G10" s="19">
        <v>0.0</v>
      </c>
      <c r="H10" s="6">
        <f>E10*PV_SESSION+F10*PV_CHALLENGE+G10*PV_WIN</f>
        <v>10</v>
      </c>
    </row>
    <row r="11">
      <c r="A11" s="7" t="s">
        <v>87</v>
      </c>
      <c r="B11" s="7" t="s">
        <v>88</v>
      </c>
      <c r="C11" s="7" t="s">
        <v>289</v>
      </c>
      <c r="D11" s="7" t="s">
        <v>281</v>
      </c>
      <c r="E11" s="18">
        <v>2.0</v>
      </c>
      <c r="F11" s="19">
        <v>0.0</v>
      </c>
      <c r="G11" s="19">
        <v>0.0</v>
      </c>
      <c r="H11" s="6">
        <f>E11*PV_SESSION+F11*PV_CHALLENGE+G11*PV_WIN</f>
        <v>10</v>
      </c>
    </row>
    <row r="12">
      <c r="A12" s="7" t="s">
        <v>89</v>
      </c>
      <c r="B12" s="7" t="s">
        <v>90</v>
      </c>
      <c r="C12" s="7" t="s">
        <v>290</v>
      </c>
      <c r="D12" s="7" t="s">
        <v>279</v>
      </c>
      <c r="E12" s="19">
        <v>0.0</v>
      </c>
      <c r="F12" s="19">
        <v>0.0</v>
      </c>
      <c r="G12" s="19">
        <v>0.0</v>
      </c>
      <c r="H12" s="6">
        <f>E12*PV_SESSION+F12*PV_CHALLENGE+G12*PV_WIN</f>
        <v>0</v>
      </c>
    </row>
    <row r="13">
      <c r="A13" s="7" t="s">
        <v>89</v>
      </c>
      <c r="B13" s="7" t="s">
        <v>90</v>
      </c>
      <c r="C13" s="7" t="s">
        <v>291</v>
      </c>
      <c r="D13" s="7" t="s">
        <v>281</v>
      </c>
      <c r="E13" s="19">
        <v>0.0</v>
      </c>
      <c r="F13" s="19">
        <v>0.0</v>
      </c>
      <c r="G13" s="19">
        <v>0.0</v>
      </c>
      <c r="H13" s="6">
        <f>E13*PV_SESSION+F13*PV_CHALLENGE+G13*PV_WIN</f>
        <v>0</v>
      </c>
    </row>
    <row r="14">
      <c r="A14" s="7" t="s">
        <v>91</v>
      </c>
      <c r="B14" s="7" t="s">
        <v>92</v>
      </c>
      <c r="C14" s="7" t="s">
        <v>292</v>
      </c>
      <c r="D14" s="7" t="s">
        <v>279</v>
      </c>
      <c r="E14" s="19">
        <v>0.0</v>
      </c>
      <c r="F14" s="19">
        <v>0.0</v>
      </c>
      <c r="G14" s="19">
        <v>0.0</v>
      </c>
      <c r="H14" s="6">
        <f>E14*PV_SESSION+F14*PV_CHALLENGE+G14*PV_WIN</f>
        <v>0</v>
      </c>
    </row>
    <row r="15">
      <c r="A15" s="7" t="s">
        <v>91</v>
      </c>
      <c r="B15" s="7" t="s">
        <v>92</v>
      </c>
      <c r="C15" s="7" t="s">
        <v>293</v>
      </c>
      <c r="D15" s="7" t="s">
        <v>281</v>
      </c>
      <c r="E15" s="19">
        <v>0.0</v>
      </c>
      <c r="F15" s="19">
        <v>0.0</v>
      </c>
      <c r="G15" s="19">
        <v>0.0</v>
      </c>
      <c r="H15" s="6">
        <f>E15*PV_SESSION+F15*PV_CHALLENGE+G15*PV_WIN</f>
        <v>0</v>
      </c>
    </row>
    <row r="16">
      <c r="A16" s="7" t="s">
        <v>93</v>
      </c>
      <c r="B16" s="7" t="s">
        <v>94</v>
      </c>
      <c r="C16" s="7" t="s">
        <v>294</v>
      </c>
      <c r="D16" s="7" t="s">
        <v>279</v>
      </c>
      <c r="E16" s="18">
        <v>2.0</v>
      </c>
      <c r="F16" s="19">
        <v>0.0</v>
      </c>
      <c r="G16" s="19">
        <v>0.0</v>
      </c>
      <c r="H16" s="6">
        <f>E16*PV_SESSION+F16*PV_CHALLENGE+G16*PV_WIN</f>
        <v>10</v>
      </c>
    </row>
    <row r="17">
      <c r="A17" s="7" t="s">
        <v>93</v>
      </c>
      <c r="B17" s="7" t="s">
        <v>94</v>
      </c>
      <c r="C17" s="7" t="s">
        <v>295</v>
      </c>
      <c r="D17" s="7" t="s">
        <v>281</v>
      </c>
      <c r="E17" s="18">
        <v>2.0</v>
      </c>
      <c r="F17" s="19">
        <v>0.0</v>
      </c>
      <c r="G17" s="19">
        <v>0.0</v>
      </c>
      <c r="H17" s="6">
        <f>E17*PV_SESSION+F17*PV_CHALLENGE+G17*PV_WIN</f>
        <v>10</v>
      </c>
    </row>
    <row r="18">
      <c r="A18" s="7" t="s">
        <v>93</v>
      </c>
      <c r="B18" s="7" t="s">
        <v>94</v>
      </c>
      <c r="C18" s="7" t="s">
        <v>296</v>
      </c>
      <c r="D18" s="7" t="s">
        <v>281</v>
      </c>
      <c r="E18" s="18">
        <v>2.0</v>
      </c>
      <c r="F18" s="18">
        <v>1.0</v>
      </c>
      <c r="G18" s="19">
        <v>0.0</v>
      </c>
      <c r="H18" s="6">
        <f>E18*PV_SESSION+F18*PV_CHALLENGE+G18*PV_WIN</f>
        <v>30</v>
      </c>
    </row>
    <row r="19">
      <c r="A19" s="7" t="s">
        <v>93</v>
      </c>
      <c r="B19" s="7" t="s">
        <v>94</v>
      </c>
      <c r="C19" s="7" t="s">
        <v>297</v>
      </c>
      <c r="D19" s="7" t="s">
        <v>281</v>
      </c>
      <c r="E19" s="18">
        <v>2.0</v>
      </c>
      <c r="F19" s="18">
        <v>1.0</v>
      </c>
      <c r="G19" s="19">
        <v>0.0</v>
      </c>
      <c r="H19" s="6">
        <f>E19*PV_SESSION+F19*PV_CHALLENGE+G19*PV_WIN</f>
        <v>30</v>
      </c>
    </row>
    <row r="20">
      <c r="A20" s="7" t="s">
        <v>96</v>
      </c>
      <c r="B20" s="7" t="s">
        <v>97</v>
      </c>
      <c r="C20" s="7" t="s">
        <v>298</v>
      </c>
      <c r="D20" s="7" t="s">
        <v>279</v>
      </c>
      <c r="E20" s="19">
        <v>0.0</v>
      </c>
      <c r="F20" s="19">
        <v>0.0</v>
      </c>
      <c r="G20" s="19">
        <v>0.0</v>
      </c>
      <c r="H20" s="6">
        <f>E20*PV_SESSION+F20*PV_CHALLENGE+G20*PV_WIN</f>
        <v>0</v>
      </c>
    </row>
    <row r="21" ht="15.75" customHeight="1">
      <c r="A21" s="7" t="s">
        <v>96</v>
      </c>
      <c r="B21" s="7" t="s">
        <v>97</v>
      </c>
      <c r="C21" s="7" t="s">
        <v>299</v>
      </c>
      <c r="D21" s="7" t="s">
        <v>281</v>
      </c>
      <c r="E21" s="19">
        <v>0.0</v>
      </c>
      <c r="F21" s="19">
        <v>0.0</v>
      </c>
      <c r="G21" s="19">
        <v>0.0</v>
      </c>
      <c r="H21" s="6">
        <f>E21*PV_SESSION+F21*PV_CHALLENGE+G21*PV_WIN</f>
        <v>0</v>
      </c>
    </row>
    <row r="22" ht="15.75" customHeight="1">
      <c r="A22" s="7" t="s">
        <v>96</v>
      </c>
      <c r="B22" s="7" t="s">
        <v>97</v>
      </c>
      <c r="C22" s="7" t="s">
        <v>300</v>
      </c>
      <c r="D22" s="7" t="s">
        <v>281</v>
      </c>
      <c r="E22" s="19">
        <v>0.0</v>
      </c>
      <c r="F22" s="19">
        <v>0.0</v>
      </c>
      <c r="G22" s="19">
        <v>0.0</v>
      </c>
      <c r="H22" s="6">
        <f>E22*PV_SESSION+F22*PV_CHALLENGE+G22*PV_WIN</f>
        <v>0</v>
      </c>
    </row>
    <row r="23" ht="15.75" customHeight="1">
      <c r="A23" s="7" t="s">
        <v>98</v>
      </c>
      <c r="B23" s="7" t="s">
        <v>99</v>
      </c>
      <c r="C23" s="7" t="s">
        <v>301</v>
      </c>
      <c r="D23" s="7" t="s">
        <v>279</v>
      </c>
      <c r="E23" s="19">
        <v>0.0</v>
      </c>
      <c r="F23" s="18">
        <v>1.0</v>
      </c>
      <c r="G23" s="19">
        <v>0.0</v>
      </c>
      <c r="H23" s="6">
        <f>E23*PV_SESSION+F23*PV_CHALLENGE+G23*PV_WIN</f>
        <v>20</v>
      </c>
    </row>
    <row r="24" ht="15.75" customHeight="1">
      <c r="A24" s="7" t="s">
        <v>98</v>
      </c>
      <c r="B24" s="7" t="s">
        <v>99</v>
      </c>
      <c r="C24" s="7" t="s">
        <v>302</v>
      </c>
      <c r="D24" s="7" t="s">
        <v>281</v>
      </c>
      <c r="E24" s="19">
        <v>0.0</v>
      </c>
      <c r="F24" s="19">
        <v>0.0</v>
      </c>
      <c r="G24" s="19">
        <v>0.0</v>
      </c>
      <c r="H24" s="6">
        <f>E24*PV_SESSION+F24*PV_CHALLENGE+G24*PV_WIN</f>
        <v>0</v>
      </c>
    </row>
    <row r="25" ht="15.75" customHeight="1">
      <c r="A25" s="7" t="s">
        <v>100</v>
      </c>
      <c r="B25" s="7" t="s">
        <v>101</v>
      </c>
      <c r="C25" s="7" t="s">
        <v>303</v>
      </c>
      <c r="D25" s="7" t="s">
        <v>279</v>
      </c>
      <c r="E25" s="18">
        <v>2.0</v>
      </c>
      <c r="F25" s="19">
        <v>0.0</v>
      </c>
      <c r="G25" s="19">
        <v>0.0</v>
      </c>
      <c r="H25" s="6">
        <f>E25*PV_SESSION+F25*PV_CHALLENGE+G25*PV_WIN</f>
        <v>10</v>
      </c>
    </row>
    <row r="26" ht="15.75" customHeight="1">
      <c r="A26" s="7" t="s">
        <v>100</v>
      </c>
      <c r="B26" s="7" t="s">
        <v>101</v>
      </c>
      <c r="C26" s="7" t="s">
        <v>304</v>
      </c>
      <c r="D26" s="7" t="s">
        <v>281</v>
      </c>
      <c r="E26" s="18">
        <v>2.0</v>
      </c>
      <c r="F26" s="19">
        <v>0.0</v>
      </c>
      <c r="G26" s="19">
        <v>0.0</v>
      </c>
      <c r="H26" s="6">
        <f>E26*PV_SESSION+F26*PV_CHALLENGE+G26*PV_WIN</f>
        <v>10</v>
      </c>
    </row>
    <row r="27" ht="15.75" customHeight="1">
      <c r="A27" s="7" t="s">
        <v>100</v>
      </c>
      <c r="B27" s="7" t="s">
        <v>101</v>
      </c>
      <c r="C27" s="7" t="s">
        <v>305</v>
      </c>
      <c r="D27" s="7" t="s">
        <v>281</v>
      </c>
      <c r="E27" s="18">
        <v>2.0</v>
      </c>
      <c r="F27" s="19">
        <v>0.0</v>
      </c>
      <c r="G27" s="19">
        <v>0.0</v>
      </c>
      <c r="H27" s="6">
        <f>E27*PV_SESSION+F27*PV_CHALLENGE+G27*PV_WIN</f>
        <v>10</v>
      </c>
    </row>
    <row r="28" ht="15.75" customHeight="1">
      <c r="A28" s="7" t="s">
        <v>100</v>
      </c>
      <c r="B28" s="7" t="s">
        <v>101</v>
      </c>
      <c r="C28" s="7" t="s">
        <v>306</v>
      </c>
      <c r="D28" s="7" t="s">
        <v>281</v>
      </c>
      <c r="E28" s="18">
        <v>2.0</v>
      </c>
      <c r="F28" s="19">
        <v>0.0</v>
      </c>
      <c r="G28" s="19">
        <v>0.0</v>
      </c>
      <c r="H28" s="6">
        <f>E28*PV_SESSION+F28*PV_CHALLENGE+G28*PV_WIN</f>
        <v>10</v>
      </c>
    </row>
    <row r="29" ht="15.75" customHeight="1">
      <c r="A29" s="7" t="s">
        <v>102</v>
      </c>
      <c r="B29" s="7" t="s">
        <v>103</v>
      </c>
      <c r="C29" s="7" t="s">
        <v>307</v>
      </c>
      <c r="D29" s="7" t="s">
        <v>279</v>
      </c>
      <c r="E29" s="18">
        <v>2.0</v>
      </c>
      <c r="F29" s="18">
        <v>1.0</v>
      </c>
      <c r="G29" s="19">
        <v>0.0</v>
      </c>
      <c r="H29" s="6">
        <f>E29*PV_SESSION+F29*PV_CHALLENGE+G29*PV_WIN</f>
        <v>30</v>
      </c>
    </row>
    <row r="30" ht="15.75" customHeight="1">
      <c r="A30" s="7" t="s">
        <v>102</v>
      </c>
      <c r="B30" s="7" t="s">
        <v>103</v>
      </c>
      <c r="C30" s="7" t="s">
        <v>308</v>
      </c>
      <c r="D30" s="7" t="s">
        <v>281</v>
      </c>
      <c r="E30" s="18">
        <v>2.0</v>
      </c>
      <c r="F30" s="18">
        <v>1.0</v>
      </c>
      <c r="G30" s="18">
        <v>1.0</v>
      </c>
      <c r="H30" s="6">
        <f>E30*PV_SESSION+F30*PV_CHALLENGE+G30*PV_WIN</f>
        <v>60</v>
      </c>
    </row>
    <row r="31" ht="15.75" customHeight="1">
      <c r="A31" s="7" t="s">
        <v>102</v>
      </c>
      <c r="B31" s="7" t="s">
        <v>103</v>
      </c>
      <c r="C31" s="7" t="s">
        <v>309</v>
      </c>
      <c r="D31" s="7" t="s">
        <v>281</v>
      </c>
      <c r="E31" s="18">
        <v>2.0</v>
      </c>
      <c r="F31" s="18">
        <v>1.0</v>
      </c>
      <c r="G31" s="19">
        <v>0.0</v>
      </c>
      <c r="H31" s="6">
        <f>E31*PV_SESSION+F31*PV_CHALLENGE+G31*PV_WIN</f>
        <v>30</v>
      </c>
    </row>
    <row r="32" ht="15.75" customHeight="1">
      <c r="A32" s="7" t="s">
        <v>102</v>
      </c>
      <c r="B32" s="7" t="s">
        <v>103</v>
      </c>
      <c r="C32" s="7" t="s">
        <v>310</v>
      </c>
      <c r="D32" s="7" t="s">
        <v>281</v>
      </c>
      <c r="E32" s="18">
        <v>2.0</v>
      </c>
      <c r="F32" s="18">
        <v>1.0</v>
      </c>
      <c r="G32" s="19">
        <v>0.0</v>
      </c>
      <c r="H32" s="6">
        <f>E32*PV_SESSION+F32*PV_CHALLENGE+G32*PV_WIN</f>
        <v>30</v>
      </c>
    </row>
    <row r="33" ht="15.75" customHeight="1">
      <c r="A33" s="7" t="s">
        <v>104</v>
      </c>
      <c r="B33" s="7" t="s">
        <v>105</v>
      </c>
      <c r="C33" s="7" t="s">
        <v>311</v>
      </c>
      <c r="D33" s="7" t="s">
        <v>279</v>
      </c>
      <c r="E33" s="19">
        <v>0.0</v>
      </c>
      <c r="F33" s="19">
        <v>0.0</v>
      </c>
      <c r="G33" s="19">
        <v>0.0</v>
      </c>
      <c r="H33" s="6">
        <f>E33*PV_SESSION+F33*PV_CHALLENGE+G33*PV_WIN</f>
        <v>0</v>
      </c>
    </row>
    <row r="34" ht="15.75" customHeight="1">
      <c r="A34" s="7" t="s">
        <v>104</v>
      </c>
      <c r="B34" s="7" t="s">
        <v>105</v>
      </c>
      <c r="C34" s="7" t="s">
        <v>312</v>
      </c>
      <c r="D34" s="7" t="s">
        <v>281</v>
      </c>
      <c r="E34" s="19">
        <v>0.0</v>
      </c>
      <c r="F34" s="19">
        <v>0.0</v>
      </c>
      <c r="G34" s="19">
        <v>0.0</v>
      </c>
      <c r="H34" s="6">
        <f>E34*PV_SESSION+F34*PV_CHALLENGE+G34*PV_WIN</f>
        <v>0</v>
      </c>
    </row>
    <row r="35" ht="15.75" customHeight="1">
      <c r="A35" s="7" t="s">
        <v>106</v>
      </c>
      <c r="B35" s="7" t="s">
        <v>107</v>
      </c>
      <c r="C35" s="7" t="s">
        <v>313</v>
      </c>
      <c r="D35" s="7" t="s">
        <v>279</v>
      </c>
      <c r="E35" s="19">
        <v>0.0</v>
      </c>
      <c r="F35" s="19">
        <v>0.0</v>
      </c>
      <c r="G35" s="19">
        <v>0.0</v>
      </c>
      <c r="H35" s="6">
        <f>E35*PV_SESSION+F35*PV_CHALLENGE+G35*PV_WIN</f>
        <v>0</v>
      </c>
    </row>
    <row r="36" ht="15.75" customHeight="1">
      <c r="A36" s="7" t="s">
        <v>106</v>
      </c>
      <c r="B36" s="7" t="s">
        <v>107</v>
      </c>
      <c r="C36" s="7" t="s">
        <v>314</v>
      </c>
      <c r="D36" s="7" t="s">
        <v>281</v>
      </c>
      <c r="E36" s="19">
        <v>0.0</v>
      </c>
      <c r="F36" s="19">
        <v>0.0</v>
      </c>
      <c r="G36" s="19">
        <v>0.0</v>
      </c>
      <c r="H36" s="6">
        <f>E36*PV_SESSION+F36*PV_CHALLENGE+G36*PV_WIN</f>
        <v>0</v>
      </c>
    </row>
    <row r="37" ht="15.75" customHeight="1">
      <c r="A37" s="7" t="s">
        <v>106</v>
      </c>
      <c r="B37" s="7" t="s">
        <v>107</v>
      </c>
      <c r="C37" s="7" t="s">
        <v>315</v>
      </c>
      <c r="D37" s="7" t="s">
        <v>281</v>
      </c>
      <c r="E37" s="19">
        <v>0.0</v>
      </c>
      <c r="F37" s="19">
        <v>0.0</v>
      </c>
      <c r="G37" s="19">
        <v>0.0</v>
      </c>
      <c r="H37" s="6">
        <f>E37*PV_SESSION+F37*PV_CHALLENGE+G37*PV_WIN</f>
        <v>0</v>
      </c>
    </row>
    <row r="38" ht="15.75" customHeight="1">
      <c r="A38" s="7" t="s">
        <v>108</v>
      </c>
      <c r="B38" s="7" t="s">
        <v>109</v>
      </c>
      <c r="C38" s="7" t="s">
        <v>316</v>
      </c>
      <c r="D38" s="7" t="s">
        <v>279</v>
      </c>
      <c r="E38" s="19">
        <v>0.0</v>
      </c>
      <c r="F38" s="19">
        <v>0.0</v>
      </c>
      <c r="G38" s="19">
        <v>0.0</v>
      </c>
      <c r="H38" s="6">
        <f>E38*PV_SESSION+F38*PV_CHALLENGE+G38*PV_WIN</f>
        <v>0</v>
      </c>
    </row>
    <row r="39" ht="15.75" customHeight="1">
      <c r="A39" s="7" t="s">
        <v>108</v>
      </c>
      <c r="B39" s="7" t="s">
        <v>109</v>
      </c>
      <c r="C39" s="7" t="s">
        <v>317</v>
      </c>
      <c r="D39" s="7" t="s">
        <v>281</v>
      </c>
      <c r="E39" s="19">
        <v>0.0</v>
      </c>
      <c r="F39" s="19">
        <v>0.0</v>
      </c>
      <c r="G39" s="19">
        <v>0.0</v>
      </c>
      <c r="H39" s="6">
        <f>E39*PV_SESSION+F39*PV_CHALLENGE+G39*PV_WIN</f>
        <v>0</v>
      </c>
    </row>
    <row r="40" ht="15.75" customHeight="1">
      <c r="A40" s="7" t="s">
        <v>110</v>
      </c>
      <c r="B40" s="7" t="s">
        <v>111</v>
      </c>
      <c r="C40" s="7" t="s">
        <v>318</v>
      </c>
      <c r="D40" s="7" t="s">
        <v>279</v>
      </c>
      <c r="E40" s="18">
        <v>1.0</v>
      </c>
      <c r="F40" s="18">
        <v>1.0</v>
      </c>
      <c r="G40" s="19">
        <v>0.0</v>
      </c>
      <c r="H40" s="6">
        <f>E40*PV_SESSION+F40*PV_CHALLENGE+G40*PV_WIN</f>
        <v>25</v>
      </c>
    </row>
    <row r="41" ht="15.75" customHeight="1">
      <c r="A41" s="7" t="s">
        <v>110</v>
      </c>
      <c r="B41" s="7" t="s">
        <v>111</v>
      </c>
      <c r="C41" s="7" t="s">
        <v>319</v>
      </c>
      <c r="D41" s="7" t="s">
        <v>281</v>
      </c>
      <c r="E41" s="18">
        <v>1.0</v>
      </c>
      <c r="F41" s="18">
        <v>1.0</v>
      </c>
      <c r="G41" s="19">
        <v>0.0</v>
      </c>
      <c r="H41" s="6">
        <f>E41*PV_SESSION+F41*PV_CHALLENGE+G41*PV_WIN</f>
        <v>25</v>
      </c>
    </row>
    <row r="42" ht="15.75" customHeight="1">
      <c r="A42" s="7" t="s">
        <v>110</v>
      </c>
      <c r="B42" s="7" t="s">
        <v>111</v>
      </c>
      <c r="C42" s="7" t="s">
        <v>320</v>
      </c>
      <c r="D42" s="7" t="s">
        <v>281</v>
      </c>
      <c r="E42" s="18">
        <v>2.0</v>
      </c>
      <c r="F42" s="19">
        <v>0.0</v>
      </c>
      <c r="G42" s="19">
        <v>0.0</v>
      </c>
      <c r="H42" s="6">
        <f>E42*PV_SESSION+F42*PV_CHALLENGE+G42*PV_WIN</f>
        <v>10</v>
      </c>
    </row>
    <row r="43" ht="15.75" customHeight="1">
      <c r="A43" s="7" t="s">
        <v>112</v>
      </c>
      <c r="B43" s="7" t="s">
        <v>113</v>
      </c>
      <c r="C43" s="7" t="s">
        <v>321</v>
      </c>
      <c r="D43" s="7" t="s">
        <v>279</v>
      </c>
      <c r="E43" s="19">
        <v>0.0</v>
      </c>
      <c r="F43" s="19">
        <v>0.0</v>
      </c>
      <c r="G43" s="19">
        <v>0.0</v>
      </c>
      <c r="H43" s="6">
        <f>E43*PV_SESSION+F43*PV_CHALLENGE+G43*PV_WIN</f>
        <v>0</v>
      </c>
    </row>
    <row r="44" ht="15.75" customHeight="1">
      <c r="A44" s="7" t="s">
        <v>112</v>
      </c>
      <c r="B44" s="7" t="s">
        <v>113</v>
      </c>
      <c r="C44" s="7" t="s">
        <v>322</v>
      </c>
      <c r="D44" s="7" t="s">
        <v>281</v>
      </c>
      <c r="E44" s="19">
        <v>0.0</v>
      </c>
      <c r="F44" s="19">
        <v>0.0</v>
      </c>
      <c r="G44" s="19">
        <v>0.0</v>
      </c>
      <c r="H44" s="6">
        <f>E44*PV_SESSION+F44*PV_CHALLENGE+G44*PV_WIN</f>
        <v>0</v>
      </c>
    </row>
    <row r="45" ht="15.75" customHeight="1">
      <c r="A45" s="7" t="s">
        <v>112</v>
      </c>
      <c r="B45" s="7" t="s">
        <v>113</v>
      </c>
      <c r="C45" s="7" t="s">
        <v>323</v>
      </c>
      <c r="D45" s="7" t="s">
        <v>281</v>
      </c>
      <c r="E45" s="19">
        <v>0.0</v>
      </c>
      <c r="F45" s="19">
        <v>0.0</v>
      </c>
      <c r="G45" s="19">
        <v>0.0</v>
      </c>
      <c r="H45" s="6">
        <f>E45*PV_SESSION+F45*PV_CHALLENGE+G45*PV_WIN</f>
        <v>0</v>
      </c>
    </row>
    <row r="46" ht="15.75" customHeight="1">
      <c r="A46" s="7" t="s">
        <v>114</v>
      </c>
      <c r="B46" s="7" t="s">
        <v>115</v>
      </c>
      <c r="C46" s="7" t="s">
        <v>324</v>
      </c>
      <c r="D46" s="7" t="s">
        <v>279</v>
      </c>
      <c r="E46" s="19">
        <v>0.0</v>
      </c>
      <c r="F46" s="19">
        <v>0.0</v>
      </c>
      <c r="G46" s="19">
        <v>0.0</v>
      </c>
      <c r="H46" s="6">
        <f>E46*PV_SESSION+F46*PV_CHALLENGE+G46*PV_WIN</f>
        <v>0</v>
      </c>
    </row>
    <row r="47" ht="15.75" customHeight="1">
      <c r="A47" s="7" t="s">
        <v>114</v>
      </c>
      <c r="B47" s="7" t="s">
        <v>115</v>
      </c>
      <c r="C47" s="7" t="s">
        <v>325</v>
      </c>
      <c r="D47" s="7" t="s">
        <v>281</v>
      </c>
      <c r="E47" s="19">
        <v>0.0</v>
      </c>
      <c r="F47" s="19">
        <v>0.0</v>
      </c>
      <c r="G47" s="19">
        <v>0.0</v>
      </c>
      <c r="H47" s="6">
        <f>E47*PV_SESSION+F47*PV_CHALLENGE+G47*PV_WIN</f>
        <v>0</v>
      </c>
    </row>
    <row r="48" ht="15.75" customHeight="1">
      <c r="A48" s="7" t="s">
        <v>114</v>
      </c>
      <c r="B48" s="7" t="s">
        <v>115</v>
      </c>
      <c r="C48" s="7" t="s">
        <v>326</v>
      </c>
      <c r="D48" s="7" t="s">
        <v>281</v>
      </c>
      <c r="E48" s="19">
        <v>0.0</v>
      </c>
      <c r="F48" s="19">
        <v>0.0</v>
      </c>
      <c r="G48" s="19">
        <v>0.0</v>
      </c>
      <c r="H48" s="6">
        <f>E48*PV_SESSION+F48*PV_CHALLENGE+G48*PV_WIN</f>
        <v>0</v>
      </c>
    </row>
    <row r="49" ht="15.75" customHeight="1">
      <c r="A49" s="7" t="s">
        <v>116</v>
      </c>
      <c r="B49" s="7" t="s">
        <v>117</v>
      </c>
      <c r="C49" s="7" t="s">
        <v>327</v>
      </c>
      <c r="D49" s="7" t="s">
        <v>279</v>
      </c>
      <c r="E49" s="19">
        <v>0.0</v>
      </c>
      <c r="F49" s="19">
        <v>0.0</v>
      </c>
      <c r="G49" s="19">
        <v>0.0</v>
      </c>
      <c r="H49" s="6">
        <f>E49*PV_SESSION+F49*PV_CHALLENGE+G49*PV_WIN</f>
        <v>0</v>
      </c>
    </row>
    <row r="50" ht="15.75" customHeight="1">
      <c r="A50" s="7" t="s">
        <v>116</v>
      </c>
      <c r="B50" s="7" t="s">
        <v>117</v>
      </c>
      <c r="C50" s="7" t="s">
        <v>328</v>
      </c>
      <c r="D50" s="7" t="s">
        <v>281</v>
      </c>
      <c r="E50" s="19">
        <v>0.0</v>
      </c>
      <c r="F50" s="19">
        <v>0.0</v>
      </c>
      <c r="G50" s="19">
        <v>0.0</v>
      </c>
      <c r="H50" s="6">
        <f>E50*PV_SESSION+F50*PV_CHALLENGE+G50*PV_WIN</f>
        <v>0</v>
      </c>
    </row>
    <row r="51" ht="15.75" customHeight="1">
      <c r="A51" s="7" t="s">
        <v>118</v>
      </c>
      <c r="B51" s="7" t="s">
        <v>119</v>
      </c>
      <c r="C51" s="7" t="s">
        <v>329</v>
      </c>
      <c r="D51" s="7" t="s">
        <v>279</v>
      </c>
      <c r="E51" s="18">
        <v>2.0</v>
      </c>
      <c r="F51" s="18">
        <v>1.0</v>
      </c>
      <c r="G51" s="18">
        <v>1.0</v>
      </c>
      <c r="H51" s="6">
        <f>E51*PV_SESSION+F51*PV_CHALLENGE+G51*PV_WIN</f>
        <v>60</v>
      </c>
    </row>
    <row r="52" ht="15.75" customHeight="1">
      <c r="A52" s="7" t="s">
        <v>118</v>
      </c>
      <c r="B52" s="7" t="s">
        <v>119</v>
      </c>
      <c r="C52" s="7" t="s">
        <v>330</v>
      </c>
      <c r="D52" s="7" t="s">
        <v>281</v>
      </c>
      <c r="E52" s="18">
        <v>2.0</v>
      </c>
      <c r="F52" s="18">
        <v>1.0</v>
      </c>
      <c r="G52" s="19">
        <v>0.0</v>
      </c>
      <c r="H52" s="6">
        <f>E52*PV_SESSION+F52*PV_CHALLENGE+G52*PV_WIN</f>
        <v>30</v>
      </c>
    </row>
    <row r="53" ht="15.75" customHeight="1">
      <c r="A53" s="7" t="s">
        <v>120</v>
      </c>
      <c r="B53" s="7" t="s">
        <v>121</v>
      </c>
      <c r="C53" s="7" t="s">
        <v>331</v>
      </c>
      <c r="D53" s="7" t="s">
        <v>279</v>
      </c>
      <c r="E53" s="19">
        <v>0.0</v>
      </c>
      <c r="F53" s="19">
        <v>0.0</v>
      </c>
      <c r="G53" s="19">
        <v>0.0</v>
      </c>
      <c r="H53" s="6">
        <f>E53*PV_SESSION+F53*PV_CHALLENGE+G53*PV_WIN</f>
        <v>0</v>
      </c>
    </row>
    <row r="54" ht="15.75" customHeight="1">
      <c r="A54" s="7" t="s">
        <v>120</v>
      </c>
      <c r="B54" s="7" t="s">
        <v>121</v>
      </c>
      <c r="C54" s="7" t="s">
        <v>332</v>
      </c>
      <c r="D54" s="7" t="s">
        <v>281</v>
      </c>
      <c r="E54" s="19">
        <v>0.0</v>
      </c>
      <c r="F54" s="19">
        <v>0.0</v>
      </c>
      <c r="G54" s="19">
        <v>0.0</v>
      </c>
      <c r="H54" s="6">
        <f>E54*PV_SESSION+F54*PV_CHALLENGE+G54*PV_WIN</f>
        <v>0</v>
      </c>
    </row>
    <row r="55" ht="15.75" customHeight="1">
      <c r="A55" s="7" t="s">
        <v>120</v>
      </c>
      <c r="B55" s="7" t="s">
        <v>121</v>
      </c>
      <c r="C55" s="7" t="s">
        <v>333</v>
      </c>
      <c r="D55" s="7" t="s">
        <v>281</v>
      </c>
      <c r="E55" s="19">
        <v>0.0</v>
      </c>
      <c r="F55" s="19">
        <v>0.0</v>
      </c>
      <c r="G55" s="19">
        <v>0.0</v>
      </c>
      <c r="H55" s="6">
        <f>E55*PV_SESSION+F55*PV_CHALLENGE+G55*PV_WIN</f>
        <v>0</v>
      </c>
    </row>
    <row r="56" ht="15.75" customHeight="1">
      <c r="A56" s="7" t="s">
        <v>122</v>
      </c>
      <c r="B56" s="7" t="s">
        <v>123</v>
      </c>
      <c r="C56" s="7" t="s">
        <v>334</v>
      </c>
      <c r="D56" s="7" t="s">
        <v>279</v>
      </c>
      <c r="E56" s="19">
        <v>0.0</v>
      </c>
      <c r="F56" s="19">
        <v>0.0</v>
      </c>
      <c r="G56" s="19">
        <v>0.0</v>
      </c>
      <c r="H56" s="6">
        <f>E56*PV_SESSION+F56*PV_CHALLENGE+G56*PV_WIN</f>
        <v>0</v>
      </c>
    </row>
    <row r="57" ht="15.75" customHeight="1">
      <c r="A57" s="7" t="s">
        <v>124</v>
      </c>
      <c r="B57" s="7" t="s">
        <v>125</v>
      </c>
      <c r="C57" s="7" t="s">
        <v>335</v>
      </c>
      <c r="D57" s="7" t="s">
        <v>279</v>
      </c>
      <c r="E57" s="19">
        <v>0.0</v>
      </c>
      <c r="F57" s="19">
        <v>0.0</v>
      </c>
      <c r="G57" s="19">
        <v>0.0</v>
      </c>
      <c r="H57" s="6">
        <f>E57*PV_SESSION+F57*PV_CHALLENGE+G57*PV_WIN</f>
        <v>0</v>
      </c>
    </row>
    <row r="58" ht="15.75" customHeight="1">
      <c r="A58" s="7" t="s">
        <v>124</v>
      </c>
      <c r="B58" s="7" t="s">
        <v>125</v>
      </c>
      <c r="C58" s="7" t="s">
        <v>336</v>
      </c>
      <c r="D58" s="7" t="s">
        <v>281</v>
      </c>
      <c r="E58" s="19">
        <v>0.0</v>
      </c>
      <c r="F58" s="19">
        <v>0.0</v>
      </c>
      <c r="G58" s="19">
        <v>0.0</v>
      </c>
      <c r="H58" s="6">
        <f>E58*PV_SESSION+F58*PV_CHALLENGE+G58*PV_WIN</f>
        <v>0</v>
      </c>
    </row>
    <row r="59" ht="15.75" customHeight="1">
      <c r="A59" s="7" t="s">
        <v>126</v>
      </c>
      <c r="B59" s="7" t="s">
        <v>127</v>
      </c>
      <c r="C59" s="7" t="s">
        <v>337</v>
      </c>
      <c r="D59" s="7" t="s">
        <v>279</v>
      </c>
      <c r="E59" s="19">
        <v>0.0</v>
      </c>
      <c r="F59" s="19">
        <v>0.0</v>
      </c>
      <c r="G59" s="19">
        <v>0.0</v>
      </c>
      <c r="H59" s="6">
        <f>E59*PV_SESSION+F59*PV_CHALLENGE+G59*PV_WIN</f>
        <v>0</v>
      </c>
    </row>
    <row r="60" ht="15.75" customHeight="1">
      <c r="A60" s="7" t="s">
        <v>126</v>
      </c>
      <c r="B60" s="7" t="s">
        <v>127</v>
      </c>
      <c r="C60" s="7" t="s">
        <v>338</v>
      </c>
      <c r="D60" s="7" t="s">
        <v>281</v>
      </c>
      <c r="E60" s="19">
        <v>0.0</v>
      </c>
      <c r="F60" s="19">
        <v>0.0</v>
      </c>
      <c r="G60" s="19">
        <v>0.0</v>
      </c>
      <c r="H60" s="6">
        <f>E60*PV_SESSION+F60*PV_CHALLENGE+G60*PV_WIN</f>
        <v>0</v>
      </c>
    </row>
    <row r="61" ht="15.75" customHeight="1">
      <c r="A61" s="7" t="s">
        <v>128</v>
      </c>
      <c r="B61" s="7" t="s">
        <v>129</v>
      </c>
      <c r="C61" s="7" t="s">
        <v>339</v>
      </c>
      <c r="D61" s="7" t="s">
        <v>279</v>
      </c>
      <c r="E61" s="19">
        <v>0.0</v>
      </c>
      <c r="F61" s="19">
        <v>0.0</v>
      </c>
      <c r="G61" s="19">
        <v>0.0</v>
      </c>
      <c r="H61" s="6">
        <f>E61*PV_SESSION+F61*PV_CHALLENGE+G61*PV_WIN</f>
        <v>0</v>
      </c>
    </row>
    <row r="62" ht="15.75" customHeight="1">
      <c r="A62" s="7" t="s">
        <v>130</v>
      </c>
      <c r="B62" s="7" t="s">
        <v>131</v>
      </c>
      <c r="C62" s="7" t="s">
        <v>340</v>
      </c>
      <c r="D62" s="7" t="s">
        <v>279</v>
      </c>
      <c r="E62" s="19">
        <v>0.0</v>
      </c>
      <c r="F62" s="19">
        <v>0.0</v>
      </c>
      <c r="G62" s="19">
        <v>0.0</v>
      </c>
      <c r="H62" s="6">
        <f>E62*PV_SESSION+F62*PV_CHALLENGE+G62*PV_WIN</f>
        <v>0</v>
      </c>
    </row>
    <row r="63" ht="15.75" customHeight="1">
      <c r="A63" s="7" t="s">
        <v>132</v>
      </c>
      <c r="B63" s="7" t="s">
        <v>133</v>
      </c>
      <c r="C63" s="7" t="s">
        <v>341</v>
      </c>
      <c r="D63" s="7" t="s">
        <v>279</v>
      </c>
      <c r="E63" s="19">
        <v>0.0</v>
      </c>
      <c r="F63" s="19">
        <v>0.0</v>
      </c>
      <c r="G63" s="19">
        <v>0.0</v>
      </c>
      <c r="H63" s="6">
        <f>E63*PV_SESSION+F63*PV_CHALLENGE+G63*PV_WIN</f>
        <v>0</v>
      </c>
    </row>
    <row r="64" ht="15.75" customHeight="1">
      <c r="A64" s="7" t="s">
        <v>134</v>
      </c>
      <c r="B64" s="7" t="s">
        <v>135</v>
      </c>
      <c r="C64" s="7" t="s">
        <v>342</v>
      </c>
      <c r="D64" s="7" t="s">
        <v>279</v>
      </c>
      <c r="E64" s="19">
        <v>0.0</v>
      </c>
      <c r="F64" s="19">
        <v>0.0</v>
      </c>
      <c r="G64" s="19">
        <v>0.0</v>
      </c>
      <c r="H64" s="6">
        <f>E64*PV_SESSION+F64*PV_CHALLENGE+G64*PV_WIN</f>
        <v>0</v>
      </c>
    </row>
    <row r="65" ht="15.75" customHeight="1">
      <c r="A65" s="7" t="s">
        <v>136</v>
      </c>
      <c r="B65" s="7" t="s">
        <v>137</v>
      </c>
      <c r="C65" s="7" t="s">
        <v>343</v>
      </c>
      <c r="D65" s="7" t="s">
        <v>279</v>
      </c>
      <c r="E65" s="19">
        <v>0.0</v>
      </c>
      <c r="F65" s="19">
        <v>0.0</v>
      </c>
      <c r="G65" s="19">
        <v>0.0</v>
      </c>
      <c r="H65" s="6">
        <f>E65*PV_SESSION+F65*PV_CHALLENGE+G65*PV_WIN</f>
        <v>0</v>
      </c>
    </row>
    <row r="66" ht="15.75" customHeight="1">
      <c r="A66" s="7" t="s">
        <v>138</v>
      </c>
      <c r="B66" s="7" t="s">
        <v>139</v>
      </c>
      <c r="C66" s="7" t="s">
        <v>344</v>
      </c>
      <c r="D66" s="7" t="s">
        <v>279</v>
      </c>
      <c r="E66" s="18">
        <v>2.0</v>
      </c>
      <c r="F66" s="18">
        <v>1.0</v>
      </c>
      <c r="G66" s="19">
        <v>0.0</v>
      </c>
      <c r="H66" s="6">
        <f>E66*PV_SESSION+F66*PV_CHALLENGE+G66*PV_WIN</f>
        <v>30</v>
      </c>
    </row>
    <row r="67" ht="15.75" customHeight="1">
      <c r="A67" s="7" t="s">
        <v>138</v>
      </c>
      <c r="B67" s="7" t="s">
        <v>139</v>
      </c>
      <c r="C67" s="7" t="s">
        <v>345</v>
      </c>
      <c r="D67" s="7" t="s">
        <v>281</v>
      </c>
      <c r="E67" s="18">
        <v>2.0</v>
      </c>
      <c r="F67" s="18">
        <v>1.0</v>
      </c>
      <c r="G67" s="18">
        <v>1.0</v>
      </c>
      <c r="H67" s="6">
        <f>E67*PV_SESSION+F67*PV_CHALLENGE+G67*PV_WIN</f>
        <v>60</v>
      </c>
    </row>
    <row r="68" ht="15.75" customHeight="1">
      <c r="A68" s="7" t="s">
        <v>140</v>
      </c>
      <c r="B68" s="7" t="s">
        <v>141</v>
      </c>
      <c r="C68" s="7" t="s">
        <v>346</v>
      </c>
      <c r="D68" s="7" t="s">
        <v>279</v>
      </c>
      <c r="E68" s="19">
        <v>0.0</v>
      </c>
      <c r="F68" s="19">
        <v>0.0</v>
      </c>
      <c r="G68" s="19">
        <v>0.0</v>
      </c>
      <c r="H68" s="6">
        <f>E68*PV_SESSION+F68*PV_CHALLENGE+G68*PV_WIN</f>
        <v>0</v>
      </c>
    </row>
    <row r="69" ht="15.75" customHeight="1">
      <c r="A69" s="7" t="s">
        <v>140</v>
      </c>
      <c r="B69" s="7" t="s">
        <v>141</v>
      </c>
      <c r="C69" s="7" t="s">
        <v>347</v>
      </c>
      <c r="D69" s="7" t="s">
        <v>281</v>
      </c>
      <c r="E69" s="19">
        <v>0.0</v>
      </c>
      <c r="F69" s="19">
        <v>0.0</v>
      </c>
      <c r="G69" s="19">
        <v>0.0</v>
      </c>
      <c r="H69" s="6">
        <f>E69*PV_SESSION+F69*PV_CHALLENGE+G69*PV_WIN</f>
        <v>0</v>
      </c>
    </row>
    <row r="70" ht="15.75" customHeight="1">
      <c r="A70" s="7" t="s">
        <v>142</v>
      </c>
      <c r="B70" s="7" t="s">
        <v>143</v>
      </c>
      <c r="C70" s="7" t="s">
        <v>348</v>
      </c>
      <c r="D70" s="7" t="s">
        <v>279</v>
      </c>
      <c r="E70" s="19">
        <v>0.0</v>
      </c>
      <c r="F70" s="19">
        <v>0.0</v>
      </c>
      <c r="G70" s="19">
        <v>0.0</v>
      </c>
      <c r="H70" s="6">
        <f>E70*PV_SESSION+F70*PV_CHALLENGE+G70*PV_WIN</f>
        <v>0</v>
      </c>
    </row>
    <row r="71" ht="15.75" customHeight="1">
      <c r="A71" s="7" t="s">
        <v>144</v>
      </c>
      <c r="B71" s="7" t="s">
        <v>145</v>
      </c>
      <c r="C71" s="7" t="s">
        <v>349</v>
      </c>
      <c r="D71" s="7" t="s">
        <v>279</v>
      </c>
      <c r="E71" s="19">
        <v>0.0</v>
      </c>
      <c r="F71" s="19">
        <v>0.0</v>
      </c>
      <c r="G71" s="19">
        <v>0.0</v>
      </c>
      <c r="H71" s="6">
        <f>E71*PV_SESSION+F71*PV_CHALLENGE+G71*PV_WIN</f>
        <v>0</v>
      </c>
    </row>
    <row r="72" ht="15.75" customHeight="1">
      <c r="A72" s="7" t="s">
        <v>146</v>
      </c>
      <c r="B72" s="7" t="s">
        <v>147</v>
      </c>
      <c r="C72" s="7" t="s">
        <v>350</v>
      </c>
      <c r="D72" s="7" t="s">
        <v>279</v>
      </c>
      <c r="E72" s="18">
        <v>0.0</v>
      </c>
      <c r="F72" s="19">
        <v>0.0</v>
      </c>
      <c r="G72" s="19">
        <v>0.0</v>
      </c>
      <c r="H72" s="6">
        <f>E72*PV_SESSION+F72*PV_CHALLENGE+G72*PV_WIN</f>
        <v>0</v>
      </c>
    </row>
    <row r="73" ht="15.75" customHeight="1">
      <c r="A73" s="7" t="s">
        <v>146</v>
      </c>
      <c r="B73" s="7" t="s">
        <v>147</v>
      </c>
      <c r="C73" s="7" t="s">
        <v>351</v>
      </c>
      <c r="D73" s="7" t="s">
        <v>281</v>
      </c>
      <c r="E73" s="19">
        <v>0.0</v>
      </c>
      <c r="F73" s="19">
        <v>0.0</v>
      </c>
      <c r="G73" s="19">
        <v>0.0</v>
      </c>
      <c r="H73" s="6">
        <f>E73*PV_SESSION+F73*PV_CHALLENGE+G73*PV_WIN</f>
        <v>0</v>
      </c>
    </row>
    <row r="74" ht="15.75" customHeight="1">
      <c r="A74" s="7" t="s">
        <v>148</v>
      </c>
      <c r="B74" s="7" t="s">
        <v>149</v>
      </c>
      <c r="C74" s="7" t="s">
        <v>352</v>
      </c>
      <c r="D74" s="7" t="s">
        <v>279</v>
      </c>
      <c r="E74" s="19">
        <v>0.0</v>
      </c>
      <c r="F74" s="19">
        <v>0.0</v>
      </c>
      <c r="G74" s="19">
        <v>0.0</v>
      </c>
      <c r="H74" s="6">
        <f>E74*PV_SESSION+F74*PV_CHALLENGE+G74*PV_WIN</f>
        <v>0</v>
      </c>
    </row>
    <row r="75" ht="15.75" customHeight="1">
      <c r="A75" s="7" t="s">
        <v>148</v>
      </c>
      <c r="B75" s="7" t="s">
        <v>149</v>
      </c>
      <c r="C75" s="7" t="s">
        <v>353</v>
      </c>
      <c r="D75" s="7" t="s">
        <v>281</v>
      </c>
      <c r="E75" s="19">
        <v>0.0</v>
      </c>
      <c r="F75" s="19">
        <v>0.0</v>
      </c>
      <c r="G75" s="19">
        <v>0.0</v>
      </c>
      <c r="H75" s="6">
        <f>E75*PV_SESSION+F75*PV_CHALLENGE+G75*PV_WIN</f>
        <v>0</v>
      </c>
    </row>
    <row r="76" ht="15.75" customHeight="1">
      <c r="A76" s="7" t="s">
        <v>150</v>
      </c>
      <c r="B76" s="7" t="s">
        <v>151</v>
      </c>
      <c r="C76" s="7" t="s">
        <v>354</v>
      </c>
      <c r="D76" s="7" t="s">
        <v>279</v>
      </c>
      <c r="E76" s="18">
        <v>2.0</v>
      </c>
      <c r="F76" s="19">
        <v>0.0</v>
      </c>
      <c r="G76" s="19">
        <v>0.0</v>
      </c>
      <c r="H76" s="6">
        <f>E76*PV_SESSION+F76*PV_CHALLENGE+G76*PV_WIN</f>
        <v>10</v>
      </c>
    </row>
    <row r="77" ht="15.75" customHeight="1">
      <c r="A77" s="7" t="s">
        <v>150</v>
      </c>
      <c r="B77" s="7" t="s">
        <v>151</v>
      </c>
      <c r="C77" s="7" t="s">
        <v>355</v>
      </c>
      <c r="D77" s="7" t="s">
        <v>281</v>
      </c>
      <c r="E77" s="18">
        <v>2.0</v>
      </c>
      <c r="F77" s="19">
        <v>0.0</v>
      </c>
      <c r="G77" s="19">
        <v>0.0</v>
      </c>
      <c r="H77" s="6">
        <f>E77*PV_SESSION+F77*PV_CHALLENGE+G77*PV_WIN</f>
        <v>10</v>
      </c>
    </row>
    <row r="78" ht="15.75" customHeight="1">
      <c r="A78" s="7" t="s">
        <v>150</v>
      </c>
      <c r="B78" s="7" t="s">
        <v>151</v>
      </c>
      <c r="C78" s="7" t="s">
        <v>356</v>
      </c>
      <c r="D78" s="7" t="s">
        <v>281</v>
      </c>
      <c r="E78" s="18">
        <v>2.0</v>
      </c>
      <c r="F78" s="19">
        <v>0.0</v>
      </c>
      <c r="G78" s="19">
        <v>0.0</v>
      </c>
      <c r="H78" s="6">
        <f>E78*PV_SESSION+F78*PV_CHALLENGE+G78*PV_WIN</f>
        <v>10</v>
      </c>
    </row>
    <row r="79" ht="15.75" customHeight="1">
      <c r="A79" s="7" t="s">
        <v>152</v>
      </c>
      <c r="B79" s="7" t="s">
        <v>153</v>
      </c>
      <c r="C79" s="7" t="s">
        <v>357</v>
      </c>
      <c r="D79" s="7" t="s">
        <v>279</v>
      </c>
      <c r="E79" s="19">
        <v>0.0</v>
      </c>
      <c r="F79" s="19">
        <v>0.0</v>
      </c>
      <c r="G79" s="19">
        <v>0.0</v>
      </c>
      <c r="H79" s="6">
        <f>E79*PV_SESSION+F79*PV_CHALLENGE+G79*PV_WIN</f>
        <v>0</v>
      </c>
    </row>
    <row r="80" ht="15.75" customHeight="1">
      <c r="A80" s="7" t="s">
        <v>154</v>
      </c>
      <c r="B80" s="7" t="s">
        <v>155</v>
      </c>
      <c r="C80" s="7" t="s">
        <v>358</v>
      </c>
      <c r="D80" s="7" t="s">
        <v>279</v>
      </c>
      <c r="E80" s="19">
        <v>0.0</v>
      </c>
      <c r="F80" s="19">
        <v>0.0</v>
      </c>
      <c r="G80" s="19">
        <v>0.0</v>
      </c>
      <c r="H80" s="6">
        <f>E80*PV_SESSION+F80*PV_CHALLENGE+G80*PV_WIN</f>
        <v>0</v>
      </c>
    </row>
    <row r="81" ht="15.75" customHeight="1">
      <c r="A81" s="7" t="s">
        <v>154</v>
      </c>
      <c r="B81" s="7" t="s">
        <v>155</v>
      </c>
      <c r="C81" s="7" t="s">
        <v>359</v>
      </c>
      <c r="D81" s="7" t="s">
        <v>281</v>
      </c>
      <c r="E81" s="19">
        <v>0.0</v>
      </c>
      <c r="F81" s="19">
        <v>0.0</v>
      </c>
      <c r="G81" s="19">
        <v>0.0</v>
      </c>
      <c r="H81" s="6">
        <f>E81*PV_SESSION+F81*PV_CHALLENGE+G81*PV_WIN</f>
        <v>0</v>
      </c>
    </row>
    <row r="82" ht="15.75" customHeight="1">
      <c r="A82" s="7" t="s">
        <v>154</v>
      </c>
      <c r="B82" s="7" t="s">
        <v>155</v>
      </c>
      <c r="C82" s="7" t="s">
        <v>360</v>
      </c>
      <c r="D82" s="7" t="s">
        <v>281</v>
      </c>
      <c r="E82" s="19">
        <v>0.0</v>
      </c>
      <c r="F82" s="19">
        <v>0.0</v>
      </c>
      <c r="G82" s="19">
        <v>0.0</v>
      </c>
      <c r="H82" s="6">
        <f>E82*PV_SESSION+F82*PV_CHALLENGE+G82*PV_WIN</f>
        <v>0</v>
      </c>
    </row>
    <row r="83" ht="15.75" customHeight="1">
      <c r="A83" s="7" t="s">
        <v>156</v>
      </c>
      <c r="B83" s="7" t="s">
        <v>157</v>
      </c>
      <c r="C83" s="7" t="s">
        <v>361</v>
      </c>
      <c r="D83" s="7" t="s">
        <v>279</v>
      </c>
      <c r="E83" s="18">
        <v>2.0</v>
      </c>
      <c r="F83" s="18">
        <v>1.0</v>
      </c>
      <c r="G83" s="18">
        <v>1.0</v>
      </c>
      <c r="H83" s="6">
        <f>E83*PV_SESSION+F83*PV_CHALLENGE+G83*PV_WIN</f>
        <v>60</v>
      </c>
    </row>
    <row r="84" ht="15.75" customHeight="1">
      <c r="A84" s="7" t="s">
        <v>156</v>
      </c>
      <c r="B84" s="7" t="s">
        <v>157</v>
      </c>
      <c r="C84" s="7" t="s">
        <v>362</v>
      </c>
      <c r="D84" s="7" t="s">
        <v>281</v>
      </c>
      <c r="E84" s="18">
        <v>2.0</v>
      </c>
      <c r="F84" s="18">
        <v>1.0</v>
      </c>
      <c r="G84" s="19">
        <v>0.0</v>
      </c>
      <c r="H84" s="6">
        <f>E84*PV_SESSION+F84*PV_CHALLENGE+G84*PV_WIN</f>
        <v>30</v>
      </c>
    </row>
    <row r="85" ht="15.75" customHeight="1">
      <c r="A85" s="7" t="s">
        <v>158</v>
      </c>
      <c r="B85" s="7" t="s">
        <v>159</v>
      </c>
      <c r="C85" s="7" t="s">
        <v>363</v>
      </c>
      <c r="D85" s="7" t="s">
        <v>279</v>
      </c>
      <c r="E85" s="18">
        <v>2.0</v>
      </c>
      <c r="F85" s="19">
        <v>0.0</v>
      </c>
      <c r="G85" s="19">
        <v>0.0</v>
      </c>
      <c r="H85" s="6">
        <f>E85*PV_SESSION+F85*PV_CHALLENGE+G85*PV_WIN</f>
        <v>10</v>
      </c>
    </row>
    <row r="86" ht="15.75" customHeight="1">
      <c r="A86" s="7" t="s">
        <v>158</v>
      </c>
      <c r="B86" s="7" t="s">
        <v>159</v>
      </c>
      <c r="C86" s="7" t="s">
        <v>364</v>
      </c>
      <c r="D86" s="7" t="s">
        <v>281</v>
      </c>
      <c r="E86" s="18">
        <v>2.0</v>
      </c>
      <c r="F86" s="19">
        <v>0.0</v>
      </c>
      <c r="G86" s="19">
        <v>0.0</v>
      </c>
      <c r="H86" s="6">
        <f>E86*PV_SESSION+F86*PV_CHALLENGE+G86*PV_WIN</f>
        <v>10</v>
      </c>
    </row>
    <row r="87" ht="15.75" customHeight="1">
      <c r="A87" s="7" t="s">
        <v>160</v>
      </c>
      <c r="B87" s="7" t="s">
        <v>161</v>
      </c>
      <c r="C87" s="7" t="s">
        <v>365</v>
      </c>
      <c r="D87" s="7" t="s">
        <v>279</v>
      </c>
      <c r="E87" s="19">
        <v>0.0</v>
      </c>
      <c r="F87" s="19">
        <v>0.0</v>
      </c>
      <c r="G87" s="19">
        <v>0.0</v>
      </c>
      <c r="H87" s="6">
        <f>E87*PV_SESSION+F87*PV_CHALLENGE+G87*PV_WIN</f>
        <v>0</v>
      </c>
    </row>
    <row r="88" ht="15.75" customHeight="1">
      <c r="A88" s="7" t="s">
        <v>160</v>
      </c>
      <c r="B88" s="7" t="s">
        <v>161</v>
      </c>
      <c r="C88" s="7" t="s">
        <v>366</v>
      </c>
      <c r="D88" s="7" t="s">
        <v>281</v>
      </c>
      <c r="E88" s="19">
        <v>0.0</v>
      </c>
      <c r="F88" s="19">
        <v>0.0</v>
      </c>
      <c r="G88" s="19">
        <v>0.0</v>
      </c>
      <c r="H88" s="6">
        <f>E88*PV_SESSION+F88*PV_CHALLENGE+G88*PV_WIN</f>
        <v>0</v>
      </c>
    </row>
    <row r="89" ht="15.75" customHeight="1">
      <c r="A89" s="7" t="s">
        <v>162</v>
      </c>
      <c r="B89" s="7" t="s">
        <v>163</v>
      </c>
      <c r="C89" s="7" t="s">
        <v>367</v>
      </c>
      <c r="D89" s="7" t="s">
        <v>279</v>
      </c>
      <c r="E89" s="19">
        <v>0.0</v>
      </c>
      <c r="F89" s="19">
        <v>0.0</v>
      </c>
      <c r="G89" s="19">
        <v>0.0</v>
      </c>
      <c r="H89" s="6">
        <f>E89*PV_SESSION+F89*PV_CHALLENGE+G89*PV_WIN</f>
        <v>0</v>
      </c>
    </row>
    <row r="90" ht="15.75" customHeight="1">
      <c r="A90" s="7" t="s">
        <v>164</v>
      </c>
      <c r="B90" s="7" t="s">
        <v>165</v>
      </c>
      <c r="C90" s="7" t="s">
        <v>368</v>
      </c>
      <c r="D90" s="7" t="s">
        <v>279</v>
      </c>
      <c r="E90" s="18">
        <v>1.0</v>
      </c>
      <c r="F90" s="18">
        <v>1.0</v>
      </c>
      <c r="G90" s="19">
        <v>0.0</v>
      </c>
      <c r="H90" s="6">
        <f>E90*PV_SESSION+F90*PV_CHALLENGE+G90*PV_WIN</f>
        <v>25</v>
      </c>
    </row>
    <row r="91" ht="15.75" customHeight="1">
      <c r="A91" s="7" t="s">
        <v>164</v>
      </c>
      <c r="B91" s="7" t="s">
        <v>165</v>
      </c>
      <c r="C91" s="7" t="s">
        <v>369</v>
      </c>
      <c r="D91" s="7" t="s">
        <v>281</v>
      </c>
      <c r="E91" s="18">
        <v>2.0</v>
      </c>
      <c r="F91" s="18">
        <v>1.0</v>
      </c>
      <c r="G91" s="19">
        <v>0.0</v>
      </c>
      <c r="H91" s="6">
        <f>E91*PV_SESSION+F91*PV_CHALLENGE+G91*PV_WIN</f>
        <v>30</v>
      </c>
    </row>
    <row r="92" ht="15.75" customHeight="1">
      <c r="A92" s="7" t="s">
        <v>164</v>
      </c>
      <c r="B92" s="7" t="s">
        <v>165</v>
      </c>
      <c r="C92" s="7" t="s">
        <v>370</v>
      </c>
      <c r="D92" s="7" t="s">
        <v>281</v>
      </c>
      <c r="E92" s="19">
        <v>0.0</v>
      </c>
      <c r="F92" s="18">
        <v>1.0</v>
      </c>
      <c r="G92" s="19">
        <v>0.0</v>
      </c>
      <c r="H92" s="6">
        <f>E92*PV_SESSION+F92*PV_CHALLENGE+G92*PV_WIN</f>
        <v>20</v>
      </c>
    </row>
    <row r="93" ht="15.75" customHeight="1">
      <c r="A93" s="7" t="s">
        <v>167</v>
      </c>
      <c r="B93" s="7" t="s">
        <v>168</v>
      </c>
      <c r="C93" s="7" t="s">
        <v>289</v>
      </c>
      <c r="D93" s="7" t="s">
        <v>279</v>
      </c>
      <c r="E93" s="19">
        <v>0.0</v>
      </c>
      <c r="F93" s="19">
        <v>0.0</v>
      </c>
      <c r="G93" s="19">
        <v>0.0</v>
      </c>
      <c r="H93" s="6">
        <f>E93*PV_SESSION+F93*PV_CHALLENGE+G93*PV_WIN</f>
        <v>0</v>
      </c>
    </row>
    <row r="94" ht="15.75" customHeight="1">
      <c r="A94" s="7" t="s">
        <v>167</v>
      </c>
      <c r="B94" s="7" t="s">
        <v>168</v>
      </c>
      <c r="C94" s="7" t="s">
        <v>371</v>
      </c>
      <c r="D94" s="7" t="s">
        <v>281</v>
      </c>
      <c r="E94" s="19">
        <v>0.0</v>
      </c>
      <c r="F94" s="19">
        <v>0.0</v>
      </c>
      <c r="G94" s="19">
        <v>0.0</v>
      </c>
      <c r="H94" s="6">
        <f>E94*PV_SESSION+F94*PV_CHALLENGE+G94*PV_WIN</f>
        <v>0</v>
      </c>
    </row>
    <row r="95" ht="15.75" customHeight="1">
      <c r="A95" s="7" t="s">
        <v>169</v>
      </c>
      <c r="B95" s="7" t="s">
        <v>170</v>
      </c>
      <c r="C95" s="7" t="s">
        <v>372</v>
      </c>
      <c r="D95" s="7" t="s">
        <v>279</v>
      </c>
      <c r="E95" s="19">
        <v>0.0</v>
      </c>
      <c r="F95" s="19">
        <v>0.0</v>
      </c>
      <c r="G95" s="19">
        <v>0.0</v>
      </c>
      <c r="H95" s="6">
        <f>E95*PV_SESSION+F95*PV_CHALLENGE+G95*PV_WIN</f>
        <v>0</v>
      </c>
    </row>
    <row r="96" ht="15.75" customHeight="1">
      <c r="A96" s="7" t="s">
        <v>169</v>
      </c>
      <c r="B96" s="7" t="s">
        <v>170</v>
      </c>
      <c r="C96" s="7" t="s">
        <v>373</v>
      </c>
      <c r="D96" s="7" t="s">
        <v>281</v>
      </c>
      <c r="E96" s="19">
        <v>0.0</v>
      </c>
      <c r="F96" s="19">
        <v>0.0</v>
      </c>
      <c r="G96" s="19">
        <v>0.0</v>
      </c>
      <c r="H96" s="6">
        <f>E96*PV_SESSION+F96*PV_CHALLENGE+G96*PV_WIN</f>
        <v>0</v>
      </c>
    </row>
    <row r="97" ht="15.75" customHeight="1">
      <c r="A97" s="7" t="s">
        <v>171</v>
      </c>
      <c r="B97" s="7" t="s">
        <v>172</v>
      </c>
      <c r="C97" s="7" t="s">
        <v>374</v>
      </c>
      <c r="D97" s="7" t="s">
        <v>279</v>
      </c>
      <c r="E97" s="19">
        <v>0.0</v>
      </c>
      <c r="F97" s="19">
        <v>0.0</v>
      </c>
      <c r="G97" s="19">
        <v>0.0</v>
      </c>
      <c r="H97" s="6">
        <f>E97*PV_SESSION+F97*PV_CHALLENGE+G97*PV_WIN</f>
        <v>0</v>
      </c>
    </row>
    <row r="98" ht="15.75" customHeight="1">
      <c r="A98" s="7" t="s">
        <v>173</v>
      </c>
      <c r="B98" s="7" t="s">
        <v>174</v>
      </c>
      <c r="C98" s="7" t="s">
        <v>375</v>
      </c>
      <c r="D98" s="7" t="s">
        <v>279</v>
      </c>
      <c r="E98" s="18">
        <v>2.0</v>
      </c>
      <c r="F98" s="18">
        <v>1.0</v>
      </c>
      <c r="G98" s="19">
        <v>0.0</v>
      </c>
      <c r="H98" s="6">
        <f>E98*PV_SESSION+F98*PV_CHALLENGE+G98*PV_WIN</f>
        <v>30</v>
      </c>
    </row>
    <row r="99" ht="15.75" customHeight="1">
      <c r="A99" s="7" t="s">
        <v>173</v>
      </c>
      <c r="B99" s="7" t="s">
        <v>174</v>
      </c>
      <c r="C99" s="7" t="s">
        <v>376</v>
      </c>
      <c r="D99" s="7" t="s">
        <v>281</v>
      </c>
      <c r="E99" s="18">
        <v>2.0</v>
      </c>
      <c r="F99" s="18">
        <v>1.0</v>
      </c>
      <c r="G99" s="18">
        <v>0.0</v>
      </c>
      <c r="H99" s="6">
        <f>E99*PV_SESSION+F99*PV_CHALLENGE+G99*PV_WIN</f>
        <v>30</v>
      </c>
    </row>
    <row r="100" ht="15.75" customHeight="1">
      <c r="A100" s="7" t="s">
        <v>173</v>
      </c>
      <c r="B100" s="7" t="s">
        <v>174</v>
      </c>
      <c r="C100" s="7" t="s">
        <v>377</v>
      </c>
      <c r="D100" s="7" t="s">
        <v>281</v>
      </c>
      <c r="E100" s="18">
        <v>2.0</v>
      </c>
      <c r="F100" s="18">
        <v>1.0</v>
      </c>
      <c r="G100" s="18">
        <v>0.0</v>
      </c>
      <c r="H100" s="6">
        <f>E100*PV_SESSION+F100*PV_CHALLENGE+G100*PV_WIN</f>
        <v>30</v>
      </c>
    </row>
    <row r="101" ht="15.75" customHeight="1">
      <c r="A101" s="7" t="s">
        <v>175</v>
      </c>
      <c r="B101" s="7" t="s">
        <v>176</v>
      </c>
      <c r="C101" s="7" t="s">
        <v>378</v>
      </c>
      <c r="D101" s="7" t="s">
        <v>279</v>
      </c>
      <c r="E101" s="19">
        <v>0.0</v>
      </c>
      <c r="F101" s="18">
        <v>0.0</v>
      </c>
      <c r="G101" s="19">
        <v>0.0</v>
      </c>
      <c r="H101" s="6">
        <f>E101*PV_SESSION+F101*PV_CHALLENGE+G101*PV_WIN</f>
        <v>0</v>
      </c>
    </row>
    <row r="102" ht="15.75" customHeight="1">
      <c r="A102" s="7" t="s">
        <v>175</v>
      </c>
      <c r="B102" s="7" t="s">
        <v>176</v>
      </c>
      <c r="C102" s="7" t="s">
        <v>379</v>
      </c>
      <c r="D102" s="7" t="s">
        <v>281</v>
      </c>
      <c r="E102" s="19">
        <v>0.0</v>
      </c>
      <c r="F102" s="18">
        <v>0.0</v>
      </c>
      <c r="G102" s="19">
        <v>0.0</v>
      </c>
      <c r="H102" s="6">
        <f>E102*PV_SESSION+F102*PV_CHALLENGE+G102*PV_WIN</f>
        <v>0</v>
      </c>
    </row>
    <row r="103" ht="15.75" customHeight="1">
      <c r="A103" s="7" t="s">
        <v>175</v>
      </c>
      <c r="B103" s="7" t="s">
        <v>176</v>
      </c>
      <c r="C103" s="7" t="s">
        <v>380</v>
      </c>
      <c r="D103" s="7" t="s">
        <v>281</v>
      </c>
      <c r="E103" s="19">
        <v>0.0</v>
      </c>
      <c r="F103" s="19">
        <v>0.0</v>
      </c>
      <c r="G103" s="19">
        <v>0.0</v>
      </c>
      <c r="H103" s="6">
        <f>E103*PV_SESSION+F103*PV_CHALLENGE+G103*PV_WIN</f>
        <v>0</v>
      </c>
    </row>
    <row r="104" ht="15.75" customHeight="1">
      <c r="A104" s="7" t="s">
        <v>177</v>
      </c>
      <c r="B104" s="7" t="s">
        <v>178</v>
      </c>
      <c r="C104" s="7" t="s">
        <v>381</v>
      </c>
      <c r="D104" s="7" t="s">
        <v>279</v>
      </c>
      <c r="E104" s="19">
        <v>0.0</v>
      </c>
      <c r="F104" s="19">
        <v>0.0</v>
      </c>
      <c r="G104" s="19">
        <v>0.0</v>
      </c>
      <c r="H104" s="6">
        <f>E104*PV_SESSION+F104*PV_CHALLENGE+G104*PV_WIN</f>
        <v>0</v>
      </c>
    </row>
    <row r="105" ht="15.75" customHeight="1">
      <c r="A105" s="7" t="s">
        <v>177</v>
      </c>
      <c r="B105" s="7" t="s">
        <v>178</v>
      </c>
      <c r="C105" s="7" t="s">
        <v>382</v>
      </c>
      <c r="D105" s="7" t="s">
        <v>281</v>
      </c>
      <c r="E105" s="19">
        <v>0.0</v>
      </c>
      <c r="F105" s="19">
        <v>0.0</v>
      </c>
      <c r="G105" s="19">
        <v>0.0</v>
      </c>
      <c r="H105" s="6">
        <f>E105*PV_SESSION+F105*PV_CHALLENGE+G105*PV_WIN</f>
        <v>0</v>
      </c>
    </row>
    <row r="106" ht="15.75" customHeight="1">
      <c r="A106" s="7" t="s">
        <v>179</v>
      </c>
      <c r="B106" s="7" t="s">
        <v>180</v>
      </c>
      <c r="C106" s="7" t="s">
        <v>383</v>
      </c>
      <c r="D106" s="7" t="s">
        <v>279</v>
      </c>
      <c r="E106" s="19">
        <v>0.0</v>
      </c>
      <c r="F106" s="19">
        <v>0.0</v>
      </c>
      <c r="G106" s="19">
        <v>0.0</v>
      </c>
      <c r="H106" s="6">
        <f>E106*PV_SESSION+F106*PV_CHALLENGE+G106*PV_WIN</f>
        <v>0</v>
      </c>
    </row>
    <row r="107" ht="15.75" customHeight="1">
      <c r="A107" s="7" t="s">
        <v>179</v>
      </c>
      <c r="B107" s="7" t="s">
        <v>180</v>
      </c>
      <c r="C107" s="7" t="s">
        <v>384</v>
      </c>
      <c r="D107" s="7" t="s">
        <v>281</v>
      </c>
      <c r="E107" s="19">
        <v>0.0</v>
      </c>
      <c r="F107" s="19">
        <v>0.0</v>
      </c>
      <c r="G107" s="19">
        <v>0.0</v>
      </c>
      <c r="H107" s="6">
        <f>E107*PV_SESSION+F107*PV_CHALLENGE+G107*PV_WIN</f>
        <v>0</v>
      </c>
    </row>
    <row r="108" ht="15.75" customHeight="1">
      <c r="A108" s="7" t="s">
        <v>179</v>
      </c>
      <c r="B108" s="7" t="s">
        <v>180</v>
      </c>
      <c r="C108" s="7" t="s">
        <v>385</v>
      </c>
      <c r="D108" s="7" t="s">
        <v>281</v>
      </c>
      <c r="E108" s="19">
        <v>0.0</v>
      </c>
      <c r="F108" s="19">
        <v>0.0</v>
      </c>
      <c r="G108" s="19">
        <v>0.0</v>
      </c>
      <c r="H108" s="6">
        <f>E108*PV_SESSION+F108*PV_CHALLENGE+G108*PV_WIN</f>
        <v>0</v>
      </c>
    </row>
    <row r="109" ht="15.75" customHeight="1">
      <c r="A109" s="7" t="s">
        <v>179</v>
      </c>
      <c r="B109" s="7" t="s">
        <v>180</v>
      </c>
      <c r="C109" s="7" t="s">
        <v>386</v>
      </c>
      <c r="D109" s="7" t="s">
        <v>281</v>
      </c>
      <c r="E109" s="19">
        <v>0.0</v>
      </c>
      <c r="F109" s="19">
        <v>0.0</v>
      </c>
      <c r="G109" s="19">
        <v>0.0</v>
      </c>
      <c r="H109" s="6">
        <f>E109*PV_SESSION+F109*PV_CHALLENGE+G109*PV_WIN</f>
        <v>0</v>
      </c>
    </row>
    <row r="110" ht="15.75" customHeight="1">
      <c r="A110" s="7" t="s">
        <v>181</v>
      </c>
      <c r="B110" s="7" t="s">
        <v>182</v>
      </c>
      <c r="C110" s="7" t="s">
        <v>387</v>
      </c>
      <c r="D110" s="7" t="s">
        <v>279</v>
      </c>
      <c r="E110" s="19">
        <v>0.0</v>
      </c>
      <c r="F110" s="19">
        <v>0.0</v>
      </c>
      <c r="G110" s="19">
        <v>0.0</v>
      </c>
      <c r="H110" s="6">
        <f>E110*PV_SESSION+F110*PV_CHALLENGE+G110*PV_WIN</f>
        <v>0</v>
      </c>
    </row>
    <row r="111" ht="15.75" customHeight="1">
      <c r="A111" s="7" t="s">
        <v>181</v>
      </c>
      <c r="B111" s="7" t="s">
        <v>182</v>
      </c>
      <c r="C111" s="7" t="s">
        <v>388</v>
      </c>
      <c r="D111" s="7" t="s">
        <v>281</v>
      </c>
      <c r="E111" s="19">
        <v>0.0</v>
      </c>
      <c r="F111" s="19">
        <v>0.0</v>
      </c>
      <c r="G111" s="19">
        <v>0.0</v>
      </c>
      <c r="H111" s="6">
        <f>E111*PV_SESSION+F111*PV_CHALLENGE+G111*PV_WIN</f>
        <v>0</v>
      </c>
    </row>
    <row r="112" ht="15.75" customHeight="1">
      <c r="A112" s="7" t="s">
        <v>183</v>
      </c>
      <c r="B112" s="7" t="s">
        <v>184</v>
      </c>
      <c r="C112" s="7" t="s">
        <v>389</v>
      </c>
      <c r="D112" s="7" t="s">
        <v>279</v>
      </c>
      <c r="E112" s="19">
        <v>0.0</v>
      </c>
      <c r="F112" s="19">
        <v>0.0</v>
      </c>
      <c r="G112" s="19">
        <v>0.0</v>
      </c>
      <c r="H112" s="6">
        <f>E112*PV_SESSION+F112*PV_CHALLENGE+G112*PV_WIN</f>
        <v>0</v>
      </c>
    </row>
    <row r="113" ht="15.75" customHeight="1">
      <c r="A113" s="7" t="s">
        <v>183</v>
      </c>
      <c r="B113" s="7" t="s">
        <v>184</v>
      </c>
      <c r="C113" s="7" t="s">
        <v>390</v>
      </c>
      <c r="D113" s="7" t="s">
        <v>281</v>
      </c>
      <c r="E113" s="19">
        <v>0.0</v>
      </c>
      <c r="F113" s="19">
        <v>0.0</v>
      </c>
      <c r="G113" s="19">
        <v>0.0</v>
      </c>
      <c r="H113" s="6">
        <f>E113*PV_SESSION+F113*PV_CHALLENGE+G113*PV_WIN</f>
        <v>0</v>
      </c>
    </row>
    <row r="114" ht="15.75" customHeight="1">
      <c r="A114" s="7" t="s">
        <v>185</v>
      </c>
      <c r="B114" s="7" t="s">
        <v>186</v>
      </c>
      <c r="C114" s="7" t="s">
        <v>391</v>
      </c>
      <c r="D114" s="7" t="s">
        <v>279</v>
      </c>
      <c r="E114" s="18">
        <v>2.0</v>
      </c>
      <c r="F114" s="18">
        <v>1.0</v>
      </c>
      <c r="G114" s="19">
        <v>0.0</v>
      </c>
      <c r="H114" s="6">
        <f>E114*PV_SESSION+F114*PV_CHALLENGE+G114*PV_WIN</f>
        <v>30</v>
      </c>
    </row>
    <row r="115" ht="15.75" customHeight="1">
      <c r="A115" s="7" t="s">
        <v>185</v>
      </c>
      <c r="B115" s="7" t="s">
        <v>186</v>
      </c>
      <c r="C115" s="7" t="s">
        <v>392</v>
      </c>
      <c r="D115" s="7" t="s">
        <v>281</v>
      </c>
      <c r="E115" s="18">
        <v>2.0</v>
      </c>
      <c r="F115" s="18">
        <v>1.0</v>
      </c>
      <c r="G115" s="19">
        <v>0.0</v>
      </c>
      <c r="H115" s="6">
        <f>E115*PV_SESSION+F115*PV_CHALLENGE+G115*PV_WIN</f>
        <v>30</v>
      </c>
    </row>
    <row r="116" ht="15.75" customHeight="1">
      <c r="A116" s="7" t="s">
        <v>185</v>
      </c>
      <c r="B116" s="7" t="s">
        <v>186</v>
      </c>
      <c r="C116" s="7" t="s">
        <v>393</v>
      </c>
      <c r="D116" s="7" t="s">
        <v>281</v>
      </c>
      <c r="E116" s="18">
        <v>2.0</v>
      </c>
      <c r="F116" s="18">
        <v>1.0</v>
      </c>
      <c r="G116" s="19">
        <v>0.0</v>
      </c>
      <c r="H116" s="6">
        <f>E116*PV_SESSION+F116*PV_CHALLENGE+G116*PV_WIN</f>
        <v>30</v>
      </c>
    </row>
    <row r="117" ht="15.75" customHeight="1">
      <c r="A117" s="7" t="s">
        <v>187</v>
      </c>
      <c r="B117" s="7" t="s">
        <v>188</v>
      </c>
      <c r="C117" s="7" t="s">
        <v>394</v>
      </c>
      <c r="D117" s="7" t="s">
        <v>279</v>
      </c>
      <c r="E117" s="18">
        <v>2.0</v>
      </c>
      <c r="F117" s="18">
        <v>1.0</v>
      </c>
      <c r="G117" s="18">
        <v>1.0</v>
      </c>
      <c r="H117" s="6">
        <f>E117*PV_SESSION+F117*PV_CHALLENGE+G117*PV_WIN</f>
        <v>60</v>
      </c>
    </row>
    <row r="118" ht="15.75" customHeight="1">
      <c r="A118" s="7" t="s">
        <v>187</v>
      </c>
      <c r="B118" s="7" t="s">
        <v>188</v>
      </c>
      <c r="C118" s="7" t="s">
        <v>395</v>
      </c>
      <c r="D118" s="7" t="s">
        <v>281</v>
      </c>
      <c r="E118" s="18">
        <v>2.0</v>
      </c>
      <c r="F118" s="18">
        <v>1.0</v>
      </c>
      <c r="G118" s="19">
        <v>0.0</v>
      </c>
      <c r="H118" s="6">
        <f>E118*PV_SESSION+F118*PV_CHALLENGE+G118*PV_WIN</f>
        <v>30</v>
      </c>
    </row>
    <row r="119" ht="15.75" customHeight="1">
      <c r="A119" s="7" t="s">
        <v>187</v>
      </c>
      <c r="B119" s="7" t="s">
        <v>188</v>
      </c>
      <c r="C119" s="7" t="s">
        <v>396</v>
      </c>
      <c r="D119" s="7" t="s">
        <v>281</v>
      </c>
      <c r="E119" s="18">
        <v>1.0</v>
      </c>
      <c r="F119" s="18">
        <v>1.0</v>
      </c>
      <c r="G119" s="19">
        <v>0.0</v>
      </c>
      <c r="H119" s="6">
        <f>E119*PV_SESSION+F119*PV_CHALLENGE+G119*PV_WIN</f>
        <v>25</v>
      </c>
    </row>
    <row r="120" ht="15.75" customHeight="1">
      <c r="A120" s="7" t="s">
        <v>189</v>
      </c>
      <c r="B120" s="7" t="s">
        <v>190</v>
      </c>
      <c r="C120" s="7" t="s">
        <v>397</v>
      </c>
      <c r="D120" s="7" t="s">
        <v>279</v>
      </c>
      <c r="E120" s="19">
        <v>0.0</v>
      </c>
      <c r="F120" s="19">
        <v>0.0</v>
      </c>
      <c r="G120" s="19">
        <v>0.0</v>
      </c>
      <c r="H120" s="6">
        <f>E120*PV_SESSION+F120*PV_CHALLENGE+G120*PV_WIN</f>
        <v>0</v>
      </c>
    </row>
    <row r="121" ht="15.75" customHeight="1">
      <c r="A121" s="7" t="s">
        <v>191</v>
      </c>
      <c r="B121" s="7" t="s">
        <v>192</v>
      </c>
      <c r="C121" s="7" t="s">
        <v>398</v>
      </c>
      <c r="D121" s="7" t="s">
        <v>279</v>
      </c>
      <c r="E121" s="19">
        <v>0.0</v>
      </c>
      <c r="F121" s="19">
        <v>0.0</v>
      </c>
      <c r="G121" s="19">
        <v>0.0</v>
      </c>
      <c r="H121" s="6">
        <f>E121*PV_SESSION+F121*PV_CHALLENGE+G121*PV_WIN</f>
        <v>0</v>
      </c>
    </row>
    <row r="122" ht="15.75" customHeight="1">
      <c r="A122" s="7" t="s">
        <v>193</v>
      </c>
      <c r="B122" s="7" t="s">
        <v>194</v>
      </c>
      <c r="C122" s="7" t="s">
        <v>399</v>
      </c>
      <c r="D122" s="7" t="s">
        <v>279</v>
      </c>
      <c r="E122" s="18">
        <v>2.0</v>
      </c>
      <c r="F122" s="19">
        <v>0.0</v>
      </c>
      <c r="G122" s="19">
        <v>0.0</v>
      </c>
      <c r="H122" s="6">
        <f>E122*PV_SESSION+F122*PV_CHALLENGE+G122*PV_WIN</f>
        <v>10</v>
      </c>
    </row>
    <row r="123" ht="15.75" customHeight="1">
      <c r="A123" s="7" t="s">
        <v>195</v>
      </c>
      <c r="B123" s="7" t="s">
        <v>196</v>
      </c>
      <c r="C123" s="7" t="s">
        <v>400</v>
      </c>
      <c r="D123" s="7" t="s">
        <v>279</v>
      </c>
      <c r="E123" s="19">
        <v>0.0</v>
      </c>
      <c r="F123" s="19">
        <v>0.0</v>
      </c>
      <c r="G123" s="19">
        <v>0.0</v>
      </c>
      <c r="H123" s="6">
        <f>E123*PV_SESSION+F123*PV_CHALLENGE+G123*PV_WIN</f>
        <v>0</v>
      </c>
    </row>
    <row r="124" ht="15.75" customHeight="1">
      <c r="A124" s="7" t="s">
        <v>197</v>
      </c>
      <c r="B124" s="7" t="s">
        <v>198</v>
      </c>
      <c r="C124" s="7" t="s">
        <v>401</v>
      </c>
      <c r="D124" s="7" t="s">
        <v>279</v>
      </c>
      <c r="E124" s="19">
        <v>0.0</v>
      </c>
      <c r="F124" s="19">
        <v>0.0</v>
      </c>
      <c r="G124" s="19">
        <v>0.0</v>
      </c>
      <c r="H124" s="6">
        <f>E124*PV_SESSION+F124*PV_CHALLENGE+G124*PV_WIN</f>
        <v>0</v>
      </c>
    </row>
    <row r="125" ht="15.75" customHeight="1">
      <c r="A125" s="7" t="s">
        <v>197</v>
      </c>
      <c r="B125" s="7" t="s">
        <v>198</v>
      </c>
      <c r="C125" s="7" t="s">
        <v>402</v>
      </c>
      <c r="D125" s="7" t="s">
        <v>281</v>
      </c>
      <c r="E125" s="19">
        <v>0.0</v>
      </c>
      <c r="F125" s="19">
        <v>0.0</v>
      </c>
      <c r="G125" s="19">
        <v>0.0</v>
      </c>
      <c r="H125" s="6">
        <f>E125*PV_SESSION+F125*PV_CHALLENGE+G125*PV_WIN</f>
        <v>0</v>
      </c>
    </row>
    <row r="126" ht="15.75" customHeight="1">
      <c r="A126" s="7" t="s">
        <v>199</v>
      </c>
      <c r="B126" s="7" t="s">
        <v>200</v>
      </c>
      <c r="C126" s="7" t="s">
        <v>403</v>
      </c>
      <c r="D126" s="7" t="s">
        <v>279</v>
      </c>
      <c r="E126" s="19">
        <v>0.0</v>
      </c>
      <c r="F126" s="19">
        <v>0.0</v>
      </c>
      <c r="G126" s="19">
        <v>0.0</v>
      </c>
      <c r="H126" s="6">
        <f>E126*PV_SESSION+F126*PV_CHALLENGE+G126*PV_WIN</f>
        <v>0</v>
      </c>
    </row>
    <row r="127" ht="15.75" customHeight="1">
      <c r="A127" s="7" t="s">
        <v>201</v>
      </c>
      <c r="B127" s="7" t="s">
        <v>202</v>
      </c>
      <c r="C127" s="7" t="s">
        <v>404</v>
      </c>
      <c r="D127" s="7" t="s">
        <v>279</v>
      </c>
      <c r="E127" s="19">
        <v>0.0</v>
      </c>
      <c r="F127" s="19">
        <v>0.0</v>
      </c>
      <c r="G127" s="19">
        <v>0.0</v>
      </c>
      <c r="H127" s="6">
        <f>E127*PV_SESSION+F127*PV_CHALLENGE+G127*PV_WIN</f>
        <v>0</v>
      </c>
    </row>
    <row r="128" ht="15.75" customHeight="1">
      <c r="A128" s="7" t="s">
        <v>203</v>
      </c>
      <c r="B128" s="7" t="s">
        <v>204</v>
      </c>
      <c r="C128" s="7" t="s">
        <v>405</v>
      </c>
      <c r="D128" s="7" t="s">
        <v>279</v>
      </c>
      <c r="E128" s="19">
        <v>0.0</v>
      </c>
      <c r="F128" s="19">
        <v>0.0</v>
      </c>
      <c r="G128" s="19">
        <v>0.0</v>
      </c>
      <c r="H128" s="6">
        <f>E128*PV_SESSION+F128*PV_CHALLENGE+G128*PV_WIN</f>
        <v>0</v>
      </c>
    </row>
    <row r="129" ht="15.75" customHeight="1">
      <c r="A129" s="7" t="s">
        <v>203</v>
      </c>
      <c r="B129" s="7" t="s">
        <v>204</v>
      </c>
      <c r="C129" s="7" t="s">
        <v>406</v>
      </c>
      <c r="D129" s="7" t="s">
        <v>281</v>
      </c>
      <c r="E129" s="19">
        <v>0.0</v>
      </c>
      <c r="F129" s="19">
        <v>0.0</v>
      </c>
      <c r="G129" s="19">
        <v>0.0</v>
      </c>
      <c r="H129" s="6">
        <f>E129*PV_SESSION+F129*PV_CHALLENGE+G129*PV_WIN</f>
        <v>0</v>
      </c>
    </row>
    <row r="130" ht="15.75" customHeight="1">
      <c r="A130" s="7" t="s">
        <v>205</v>
      </c>
      <c r="B130" s="7" t="s">
        <v>206</v>
      </c>
      <c r="C130" s="7" t="s">
        <v>407</v>
      </c>
      <c r="D130" s="7" t="s">
        <v>279</v>
      </c>
      <c r="E130" s="19">
        <v>0.0</v>
      </c>
      <c r="F130" s="19">
        <v>0.0</v>
      </c>
      <c r="G130" s="19">
        <v>0.0</v>
      </c>
      <c r="H130" s="6">
        <f>E130*PV_SESSION+F130*PV_CHALLENGE+G130*PV_WIN</f>
        <v>0</v>
      </c>
    </row>
    <row r="131" ht="15.75" customHeight="1">
      <c r="A131" s="7" t="s">
        <v>207</v>
      </c>
      <c r="B131" s="7" t="s">
        <v>208</v>
      </c>
      <c r="C131" s="7" t="s">
        <v>408</v>
      </c>
      <c r="D131" s="7" t="s">
        <v>279</v>
      </c>
      <c r="E131" s="19">
        <v>0.0</v>
      </c>
      <c r="F131" s="19">
        <v>0.0</v>
      </c>
      <c r="G131" s="19">
        <v>0.0</v>
      </c>
      <c r="H131" s="6">
        <f>E131*PV_SESSION+F131*PV_CHALLENGE+G131*PV_WIN</f>
        <v>0</v>
      </c>
    </row>
    <row r="132" ht="15.75" customHeight="1">
      <c r="A132" s="7" t="s">
        <v>207</v>
      </c>
      <c r="B132" s="7" t="s">
        <v>208</v>
      </c>
      <c r="C132" s="7" t="s">
        <v>409</v>
      </c>
      <c r="D132" s="7" t="s">
        <v>281</v>
      </c>
      <c r="E132" s="19">
        <v>0.0</v>
      </c>
      <c r="F132" s="19">
        <v>0.0</v>
      </c>
      <c r="G132" s="19">
        <v>0.0</v>
      </c>
      <c r="H132" s="6">
        <f>E132*PV_SESSION+F132*PV_CHALLENGE+G132*PV_WIN</f>
        <v>0</v>
      </c>
    </row>
    <row r="133" ht="15.75" customHeight="1">
      <c r="A133" s="7" t="s">
        <v>207</v>
      </c>
      <c r="B133" s="7" t="s">
        <v>208</v>
      </c>
      <c r="C133" s="7" t="s">
        <v>410</v>
      </c>
      <c r="D133" s="7" t="s">
        <v>281</v>
      </c>
      <c r="E133" s="19">
        <v>0.0</v>
      </c>
      <c r="F133" s="19">
        <v>0.0</v>
      </c>
      <c r="G133" s="19">
        <v>0.0</v>
      </c>
      <c r="H133" s="6">
        <f>E133*PV_SESSION+F133*PV_CHALLENGE+G133*PV_WIN</f>
        <v>0</v>
      </c>
    </row>
    <row r="134" ht="15.75" customHeight="1">
      <c r="A134" s="7" t="s">
        <v>209</v>
      </c>
      <c r="B134" s="7" t="s">
        <v>210</v>
      </c>
      <c r="C134" s="7" t="s">
        <v>411</v>
      </c>
      <c r="D134" s="7" t="s">
        <v>279</v>
      </c>
      <c r="E134" s="19">
        <v>0.0</v>
      </c>
      <c r="F134" s="19">
        <v>0.0</v>
      </c>
      <c r="G134" s="19">
        <v>0.0</v>
      </c>
      <c r="H134" s="6">
        <f>E134*PV_SESSION+F134*PV_CHALLENGE+G134*PV_WIN</f>
        <v>0</v>
      </c>
    </row>
    <row r="135" ht="15.75" customHeight="1">
      <c r="A135" s="7" t="s">
        <v>209</v>
      </c>
      <c r="B135" s="7" t="s">
        <v>210</v>
      </c>
      <c r="C135" s="7" t="s">
        <v>412</v>
      </c>
      <c r="D135" s="7" t="s">
        <v>281</v>
      </c>
      <c r="E135" s="19">
        <v>0.0</v>
      </c>
      <c r="F135" s="18">
        <v>1.0</v>
      </c>
      <c r="G135" s="18">
        <v>1.0</v>
      </c>
      <c r="H135" s="6">
        <f>E135*PV_SESSION+F135*PV_CHALLENGE+G135*PV_WIN</f>
        <v>50</v>
      </c>
    </row>
    <row r="136" ht="15.75" customHeight="1">
      <c r="A136" s="7" t="s">
        <v>209</v>
      </c>
      <c r="B136" s="7" t="s">
        <v>210</v>
      </c>
      <c r="C136" s="7" t="s">
        <v>413</v>
      </c>
      <c r="D136" s="7" t="s">
        <v>281</v>
      </c>
      <c r="E136" s="19">
        <v>0.0</v>
      </c>
      <c r="F136" s="19">
        <v>0.0</v>
      </c>
      <c r="G136" s="19">
        <v>0.0</v>
      </c>
      <c r="H136" s="6">
        <f>E136*PV_SESSION+F136*PV_CHALLENGE+G136*PV_WIN</f>
        <v>0</v>
      </c>
    </row>
    <row r="137" ht="15.75" customHeight="1">
      <c r="A137" s="7" t="s">
        <v>211</v>
      </c>
      <c r="B137" s="7" t="s">
        <v>212</v>
      </c>
      <c r="C137" s="7" t="s">
        <v>414</v>
      </c>
      <c r="D137" s="7" t="s">
        <v>279</v>
      </c>
      <c r="E137" s="19">
        <v>0.0</v>
      </c>
      <c r="F137" s="19">
        <v>0.0</v>
      </c>
      <c r="G137" s="19">
        <v>0.0</v>
      </c>
      <c r="H137" s="6">
        <f>E137*PV_SESSION+F137*PV_CHALLENGE+G137*PV_WIN</f>
        <v>0</v>
      </c>
    </row>
    <row r="138" ht="15.75" customHeight="1">
      <c r="A138" s="7" t="s">
        <v>213</v>
      </c>
      <c r="B138" s="7" t="s">
        <v>214</v>
      </c>
      <c r="C138" s="7" t="s">
        <v>415</v>
      </c>
      <c r="D138" s="7" t="s">
        <v>279</v>
      </c>
      <c r="E138" s="19">
        <v>0.0</v>
      </c>
      <c r="F138" s="19">
        <v>0.0</v>
      </c>
      <c r="G138" s="19">
        <v>0.0</v>
      </c>
      <c r="H138" s="6">
        <f>E138*PV_SESSION+F138*PV_CHALLENGE+G138*PV_WIN</f>
        <v>0</v>
      </c>
    </row>
    <row r="139" ht="15.75" customHeight="1">
      <c r="A139" s="7" t="s">
        <v>213</v>
      </c>
      <c r="B139" s="7" t="s">
        <v>214</v>
      </c>
      <c r="C139" s="7" t="s">
        <v>416</v>
      </c>
      <c r="D139" s="7" t="s">
        <v>281</v>
      </c>
      <c r="E139" s="19">
        <v>0.0</v>
      </c>
      <c r="F139" s="18">
        <v>1.0</v>
      </c>
      <c r="G139" s="19">
        <v>0.0</v>
      </c>
      <c r="H139" s="6">
        <f>E139*PV_SESSION+F139*PV_CHALLENGE+G139*PV_WIN</f>
        <v>20</v>
      </c>
    </row>
    <row r="140" ht="15.75" customHeight="1">
      <c r="A140" s="7" t="s">
        <v>215</v>
      </c>
      <c r="B140" s="7" t="s">
        <v>216</v>
      </c>
      <c r="C140" s="7" t="s">
        <v>417</v>
      </c>
      <c r="D140" s="7" t="s">
        <v>279</v>
      </c>
      <c r="E140" s="18">
        <v>2.0</v>
      </c>
      <c r="F140" s="18">
        <v>1.0</v>
      </c>
      <c r="G140" s="18">
        <v>1.0</v>
      </c>
      <c r="H140" s="6">
        <f>E140*PV_SESSION+F140*PV_CHALLENGE+G140*PV_WIN</f>
        <v>60</v>
      </c>
    </row>
    <row r="141" ht="15.75" customHeight="1">
      <c r="A141" s="7" t="s">
        <v>215</v>
      </c>
      <c r="B141" s="7" t="s">
        <v>216</v>
      </c>
      <c r="C141" s="7" t="s">
        <v>417</v>
      </c>
      <c r="D141" s="7" t="s">
        <v>281</v>
      </c>
      <c r="E141" s="18">
        <v>2.0</v>
      </c>
      <c r="F141" s="18">
        <v>1.0</v>
      </c>
      <c r="G141" s="18">
        <v>1.0</v>
      </c>
      <c r="H141" s="6">
        <f>E141*PV_SESSION+F141*PV_CHALLENGE+G141*PV_WIN</f>
        <v>60</v>
      </c>
    </row>
    <row r="142" ht="15.75" customHeight="1">
      <c r="A142" s="7" t="s">
        <v>217</v>
      </c>
      <c r="B142" s="7" t="s">
        <v>218</v>
      </c>
      <c r="C142" s="7" t="s">
        <v>418</v>
      </c>
      <c r="D142" s="7" t="s">
        <v>279</v>
      </c>
      <c r="E142" s="19">
        <v>0.0</v>
      </c>
      <c r="F142" s="19">
        <v>0.0</v>
      </c>
      <c r="G142" s="19">
        <v>0.0</v>
      </c>
      <c r="H142" s="6">
        <f>E142*PV_SESSION+F142*PV_CHALLENGE+G142*PV_WIN</f>
        <v>0</v>
      </c>
    </row>
    <row r="143" ht="15.75" customHeight="1">
      <c r="A143" s="7" t="s">
        <v>217</v>
      </c>
      <c r="B143" s="7" t="s">
        <v>218</v>
      </c>
      <c r="C143" s="7" t="s">
        <v>419</v>
      </c>
      <c r="D143" s="7" t="s">
        <v>281</v>
      </c>
      <c r="E143" s="19">
        <v>0.0</v>
      </c>
      <c r="F143" s="19">
        <v>0.0</v>
      </c>
      <c r="G143" s="19">
        <v>0.0</v>
      </c>
      <c r="H143" s="6">
        <f>E143*PV_SESSION+F143*PV_CHALLENGE+G143*PV_WIN</f>
        <v>0</v>
      </c>
    </row>
    <row r="144" ht="15.75" customHeight="1">
      <c r="A144" s="7" t="s">
        <v>217</v>
      </c>
      <c r="B144" s="7" t="s">
        <v>218</v>
      </c>
      <c r="C144" s="7" t="s">
        <v>420</v>
      </c>
      <c r="D144" s="7" t="s">
        <v>281</v>
      </c>
      <c r="E144" s="19">
        <v>0.0</v>
      </c>
      <c r="F144" s="19">
        <v>0.0</v>
      </c>
      <c r="G144" s="19">
        <v>0.0</v>
      </c>
      <c r="H144" s="6">
        <f>E144*PV_SESSION+F144*PV_CHALLENGE+G144*PV_WIN</f>
        <v>0</v>
      </c>
    </row>
    <row r="145" ht="15.75" customHeight="1">
      <c r="A145" s="7" t="s">
        <v>217</v>
      </c>
      <c r="B145" s="7" t="s">
        <v>218</v>
      </c>
      <c r="C145" s="7" t="s">
        <v>421</v>
      </c>
      <c r="D145" s="7" t="s">
        <v>281</v>
      </c>
      <c r="E145" s="19">
        <v>0.0</v>
      </c>
      <c r="F145" s="19">
        <v>0.0</v>
      </c>
      <c r="G145" s="19">
        <v>0.0</v>
      </c>
      <c r="H145" s="6">
        <f>E145*PV_SESSION+F145*PV_CHALLENGE+G145*PV_WIN</f>
        <v>0</v>
      </c>
    </row>
    <row r="146" ht="15.75" customHeight="1">
      <c r="A146" s="7" t="s">
        <v>219</v>
      </c>
      <c r="B146" s="7" t="s">
        <v>220</v>
      </c>
      <c r="C146" s="7" t="s">
        <v>422</v>
      </c>
      <c r="D146" s="7" t="s">
        <v>279</v>
      </c>
      <c r="E146" s="19">
        <v>0.0</v>
      </c>
      <c r="F146" s="19">
        <v>0.0</v>
      </c>
      <c r="G146" s="19">
        <v>0.0</v>
      </c>
      <c r="H146" s="6">
        <f>E146*PV_SESSION+F146*PV_CHALLENGE+G146*PV_WIN</f>
        <v>0</v>
      </c>
    </row>
    <row r="147" ht="15.75" customHeight="1">
      <c r="A147" s="7" t="s">
        <v>219</v>
      </c>
      <c r="B147" s="7" t="s">
        <v>220</v>
      </c>
      <c r="C147" s="7" t="s">
        <v>423</v>
      </c>
      <c r="D147" s="7" t="s">
        <v>281</v>
      </c>
      <c r="E147" s="19">
        <v>0.0</v>
      </c>
      <c r="F147" s="19">
        <v>0.0</v>
      </c>
      <c r="G147" s="19">
        <v>0.0</v>
      </c>
      <c r="H147" s="6">
        <f>E147*PV_SESSION+F147*PV_CHALLENGE+G147*PV_WIN</f>
        <v>0</v>
      </c>
    </row>
    <row r="148" ht="15.75" customHeight="1">
      <c r="A148" s="7" t="s">
        <v>219</v>
      </c>
      <c r="B148" s="7" t="s">
        <v>220</v>
      </c>
      <c r="C148" s="7" t="s">
        <v>424</v>
      </c>
      <c r="D148" s="7" t="s">
        <v>281</v>
      </c>
      <c r="E148" s="19">
        <v>0.0</v>
      </c>
      <c r="F148" s="19">
        <v>0.0</v>
      </c>
      <c r="G148" s="19">
        <v>0.0</v>
      </c>
      <c r="H148" s="6">
        <f>E148*PV_SESSION+F148*PV_CHALLENGE+G148*PV_WIN</f>
        <v>0</v>
      </c>
    </row>
    <row r="149" ht="15.75" customHeight="1">
      <c r="A149" s="7" t="s">
        <v>219</v>
      </c>
      <c r="B149" s="7" t="s">
        <v>220</v>
      </c>
      <c r="C149" s="7" t="s">
        <v>425</v>
      </c>
      <c r="D149" s="7" t="s">
        <v>281</v>
      </c>
      <c r="E149" s="19">
        <v>0.0</v>
      </c>
      <c r="F149" s="19">
        <v>0.0</v>
      </c>
      <c r="G149" s="19">
        <v>0.0</v>
      </c>
      <c r="H149" s="6">
        <f>E149*PV_SESSION+F149*PV_CHALLENGE+G149*PV_WIN</f>
        <v>0</v>
      </c>
    </row>
    <row r="150" ht="15.75" customHeight="1">
      <c r="A150" s="7" t="s">
        <v>221</v>
      </c>
      <c r="B150" s="7" t="s">
        <v>222</v>
      </c>
      <c r="C150" s="7" t="s">
        <v>426</v>
      </c>
      <c r="D150" s="7" t="s">
        <v>279</v>
      </c>
      <c r="E150" s="18">
        <v>2.0</v>
      </c>
      <c r="F150" s="19">
        <v>0.0</v>
      </c>
      <c r="G150" s="19">
        <v>0.0</v>
      </c>
      <c r="H150" s="6">
        <f>E150*PV_SESSION+F150*PV_CHALLENGE+G150*PV_WIN</f>
        <v>10</v>
      </c>
    </row>
    <row r="151" ht="15.75" customHeight="1">
      <c r="A151" s="7" t="s">
        <v>221</v>
      </c>
      <c r="B151" s="7" t="s">
        <v>222</v>
      </c>
      <c r="C151" s="7" t="s">
        <v>427</v>
      </c>
      <c r="D151" s="7" t="s">
        <v>281</v>
      </c>
      <c r="E151" s="18">
        <v>1.0</v>
      </c>
      <c r="F151" s="19">
        <v>0.0</v>
      </c>
      <c r="G151" s="19">
        <v>0.0</v>
      </c>
      <c r="H151" s="6">
        <f>E151*PV_SESSION+F151*PV_CHALLENGE+G151*PV_WIN</f>
        <v>5</v>
      </c>
    </row>
    <row r="152" ht="15.75" customHeight="1">
      <c r="A152" s="7" t="s">
        <v>221</v>
      </c>
      <c r="B152" s="7" t="s">
        <v>222</v>
      </c>
      <c r="C152" s="7" t="s">
        <v>428</v>
      </c>
      <c r="D152" s="7" t="s">
        <v>281</v>
      </c>
      <c r="E152" s="18">
        <v>1.0</v>
      </c>
      <c r="F152" s="19">
        <v>0.0</v>
      </c>
      <c r="G152" s="19">
        <v>0.0</v>
      </c>
      <c r="H152" s="6">
        <f>E152*PV_SESSION+F152*PV_CHALLENGE+G152*PV_WIN</f>
        <v>5</v>
      </c>
    </row>
    <row r="153" ht="15.75" customHeight="1">
      <c r="A153" s="7" t="s">
        <v>223</v>
      </c>
      <c r="B153" s="7" t="s">
        <v>224</v>
      </c>
      <c r="C153" s="7" t="s">
        <v>429</v>
      </c>
      <c r="D153" s="7" t="s">
        <v>279</v>
      </c>
      <c r="E153" s="18">
        <v>1.0</v>
      </c>
      <c r="F153" s="19">
        <v>0.0</v>
      </c>
      <c r="G153" s="19">
        <v>0.0</v>
      </c>
      <c r="H153" s="6">
        <f>E153*PV_SESSION+F153*PV_CHALLENGE+G153*PV_WIN</f>
        <v>5</v>
      </c>
    </row>
    <row r="154" ht="15.75" customHeight="1">
      <c r="A154" s="7" t="s">
        <v>223</v>
      </c>
      <c r="B154" s="7" t="s">
        <v>224</v>
      </c>
      <c r="C154" s="7" t="s">
        <v>430</v>
      </c>
      <c r="D154" s="7" t="s">
        <v>281</v>
      </c>
      <c r="E154" s="18">
        <v>2.0</v>
      </c>
      <c r="F154" s="18">
        <v>1.0</v>
      </c>
      <c r="G154" s="19">
        <v>0.0</v>
      </c>
      <c r="H154" s="6">
        <f>E154*PV_SESSION+F154*PV_CHALLENGE+G154*PV_WIN</f>
        <v>30</v>
      </c>
    </row>
    <row r="155" ht="15.75" customHeight="1">
      <c r="A155" s="7" t="s">
        <v>223</v>
      </c>
      <c r="B155" s="7" t="s">
        <v>224</v>
      </c>
      <c r="C155" s="7" t="s">
        <v>431</v>
      </c>
      <c r="D155" s="7" t="s">
        <v>281</v>
      </c>
      <c r="E155" s="18">
        <v>2.0</v>
      </c>
      <c r="F155" s="18">
        <v>1.0</v>
      </c>
      <c r="G155" s="19">
        <v>0.0</v>
      </c>
      <c r="H155" s="6">
        <f>E155*PV_SESSION+F155*PV_CHALLENGE+G155*PV_WIN</f>
        <v>30</v>
      </c>
    </row>
    <row r="156" ht="15.75" customHeight="1">
      <c r="A156" s="7" t="s">
        <v>223</v>
      </c>
      <c r="B156" s="7" t="s">
        <v>224</v>
      </c>
      <c r="C156" s="7" t="s">
        <v>432</v>
      </c>
      <c r="D156" s="7" t="s">
        <v>281</v>
      </c>
      <c r="E156" s="18">
        <v>2.0</v>
      </c>
      <c r="F156" s="19">
        <v>0.0</v>
      </c>
      <c r="G156" s="19">
        <v>0.0</v>
      </c>
      <c r="H156" s="6">
        <f>E156*PV_SESSION+F156*PV_CHALLENGE+G156*PV_WIN</f>
        <v>10</v>
      </c>
    </row>
    <row r="157" ht="15.75" customHeight="1">
      <c r="A157" s="7" t="s">
        <v>225</v>
      </c>
      <c r="B157" s="7" t="s">
        <v>226</v>
      </c>
      <c r="C157" s="7" t="s">
        <v>433</v>
      </c>
      <c r="D157" s="7" t="s">
        <v>279</v>
      </c>
      <c r="E157" s="19">
        <v>0.0</v>
      </c>
      <c r="F157" s="19">
        <v>0.0</v>
      </c>
      <c r="G157" s="19">
        <v>0.0</v>
      </c>
      <c r="H157" s="6">
        <f>E157*PV_SESSION+F157*PV_CHALLENGE+G157*PV_WIN</f>
        <v>0</v>
      </c>
    </row>
    <row r="158" ht="15.75" customHeight="1">
      <c r="A158" s="7" t="s">
        <v>225</v>
      </c>
      <c r="B158" s="7" t="s">
        <v>226</v>
      </c>
      <c r="C158" s="7" t="s">
        <v>434</v>
      </c>
      <c r="D158" s="7" t="s">
        <v>281</v>
      </c>
      <c r="E158" s="19">
        <v>0.0</v>
      </c>
      <c r="F158" s="19">
        <v>0.0</v>
      </c>
      <c r="G158" s="19">
        <v>0.0</v>
      </c>
      <c r="H158" s="6">
        <f>E158*PV_SESSION+F158*PV_CHALLENGE+G158*PV_WIN</f>
        <v>0</v>
      </c>
    </row>
    <row r="159" ht="15.75" customHeight="1">
      <c r="A159" s="7" t="s">
        <v>227</v>
      </c>
      <c r="B159" s="7" t="s">
        <v>228</v>
      </c>
      <c r="C159" s="7" t="s">
        <v>435</v>
      </c>
      <c r="D159" s="7" t="s">
        <v>279</v>
      </c>
      <c r="E159" s="19">
        <v>0.0</v>
      </c>
      <c r="F159" s="19">
        <v>0.0</v>
      </c>
      <c r="G159" s="19">
        <v>0.0</v>
      </c>
      <c r="H159" s="6">
        <f>E159*PV_SESSION+F159*PV_CHALLENGE+G159*PV_WIN</f>
        <v>0</v>
      </c>
    </row>
    <row r="160" ht="15.75" customHeight="1">
      <c r="A160" s="7" t="s">
        <v>227</v>
      </c>
      <c r="B160" s="7" t="s">
        <v>228</v>
      </c>
      <c r="C160" s="7" t="s">
        <v>436</v>
      </c>
      <c r="D160" s="7" t="s">
        <v>281</v>
      </c>
      <c r="E160" s="19">
        <v>0.0</v>
      </c>
      <c r="F160" s="19">
        <v>0.0</v>
      </c>
      <c r="G160" s="19">
        <v>0.0</v>
      </c>
      <c r="H160" s="6">
        <f>E160*PV_SESSION+F160*PV_CHALLENGE+G160*PV_WIN</f>
        <v>0</v>
      </c>
    </row>
    <row r="161" ht="15.75" customHeight="1">
      <c r="A161" s="7" t="s">
        <v>229</v>
      </c>
      <c r="B161" s="17" t="s">
        <v>275</v>
      </c>
      <c r="C161" s="7" t="s">
        <v>437</v>
      </c>
      <c r="D161" s="7" t="s">
        <v>279</v>
      </c>
      <c r="E161" s="18">
        <v>2.0</v>
      </c>
      <c r="F161" s="18">
        <v>1.0</v>
      </c>
      <c r="G161" s="19">
        <v>0.0</v>
      </c>
      <c r="H161" s="6">
        <f>E161*PV_SESSION+F161*PV_CHALLENGE+G161*PV_WIN</f>
        <v>30</v>
      </c>
    </row>
    <row r="162" ht="15.75" customHeight="1">
      <c r="A162" s="7" t="s">
        <v>229</v>
      </c>
      <c r="B162" s="17" t="s">
        <v>275</v>
      </c>
      <c r="C162" s="7" t="s">
        <v>438</v>
      </c>
      <c r="D162" s="7" t="s">
        <v>281</v>
      </c>
      <c r="E162" s="18">
        <v>2.0</v>
      </c>
      <c r="F162" s="19">
        <v>0.0</v>
      </c>
      <c r="G162" s="19">
        <v>0.0</v>
      </c>
      <c r="H162" s="6">
        <f>E162*PV_SESSION+F162*PV_CHALLENGE+G162*PV_WIN</f>
        <v>10</v>
      </c>
    </row>
    <row r="163" ht="15.75" customHeight="1">
      <c r="A163" s="7" t="s">
        <v>229</v>
      </c>
      <c r="B163" s="17" t="s">
        <v>275</v>
      </c>
      <c r="C163" s="7" t="s">
        <v>439</v>
      </c>
      <c r="D163" s="7" t="s">
        <v>281</v>
      </c>
      <c r="E163" s="18">
        <v>2.0</v>
      </c>
      <c r="F163" s="19">
        <v>0.0</v>
      </c>
      <c r="G163" s="19">
        <v>0.0</v>
      </c>
      <c r="H163" s="6">
        <f>E163*PV_SESSION+F163*PV_CHALLENGE+G163*PV_WIN</f>
        <v>10</v>
      </c>
    </row>
    <row r="164" ht="15.75" customHeight="1">
      <c r="A164" s="7" t="s">
        <v>229</v>
      </c>
      <c r="B164" s="17" t="s">
        <v>275</v>
      </c>
      <c r="C164" s="7" t="s">
        <v>440</v>
      </c>
      <c r="D164" s="7" t="s">
        <v>281</v>
      </c>
      <c r="E164" s="18">
        <v>2.0</v>
      </c>
      <c r="F164" s="19">
        <v>0.0</v>
      </c>
      <c r="G164" s="19">
        <v>0.0</v>
      </c>
      <c r="H164" s="6">
        <f>E164*PV_SESSION+F164*PV_CHALLENGE+G164*PV_WIN</f>
        <v>10</v>
      </c>
    </row>
    <row r="165" ht="15.75" customHeight="1">
      <c r="A165" s="7" t="s">
        <v>231</v>
      </c>
      <c r="B165" s="7" t="s">
        <v>232</v>
      </c>
      <c r="C165" s="7" t="s">
        <v>441</v>
      </c>
      <c r="D165" s="7" t="s">
        <v>279</v>
      </c>
      <c r="E165" s="18">
        <v>2.0</v>
      </c>
      <c r="F165" s="19">
        <v>0.0</v>
      </c>
      <c r="G165" s="19">
        <v>0.0</v>
      </c>
      <c r="H165" s="6">
        <f>E165*PV_SESSION+F165*PV_CHALLENGE+G165*PV_WIN</f>
        <v>10</v>
      </c>
    </row>
    <row r="166" ht="15.75" customHeight="1">
      <c r="A166" s="7" t="s">
        <v>231</v>
      </c>
      <c r="B166" s="7" t="s">
        <v>232</v>
      </c>
      <c r="C166" s="7" t="s">
        <v>442</v>
      </c>
      <c r="D166" s="7" t="s">
        <v>281</v>
      </c>
      <c r="E166" s="18">
        <v>2.0</v>
      </c>
      <c r="F166" s="19">
        <v>0.0</v>
      </c>
      <c r="G166" s="19">
        <v>0.0</v>
      </c>
      <c r="H166" s="6">
        <f>E166*PV_SESSION+F166*PV_CHALLENGE+G166*PV_WIN</f>
        <v>10</v>
      </c>
    </row>
    <row r="167" ht="15.75" customHeight="1">
      <c r="A167" s="7" t="s">
        <v>233</v>
      </c>
      <c r="B167" s="7" t="s">
        <v>234</v>
      </c>
      <c r="C167" s="7" t="s">
        <v>443</v>
      </c>
      <c r="D167" s="7" t="s">
        <v>279</v>
      </c>
      <c r="E167" s="18">
        <v>2.0</v>
      </c>
      <c r="F167" s="19">
        <v>0.0</v>
      </c>
      <c r="G167" s="19">
        <v>0.0</v>
      </c>
      <c r="H167" s="6">
        <f>E167*PV_SESSION+F167*PV_CHALLENGE+G167*PV_WIN</f>
        <v>10</v>
      </c>
    </row>
    <row r="168" ht="15.75" customHeight="1">
      <c r="A168" s="7" t="s">
        <v>233</v>
      </c>
      <c r="B168" s="7" t="s">
        <v>234</v>
      </c>
      <c r="C168" s="7" t="s">
        <v>444</v>
      </c>
      <c r="D168" s="7" t="s">
        <v>281</v>
      </c>
      <c r="E168" s="18">
        <v>1.0</v>
      </c>
      <c r="F168" s="18">
        <v>1.0</v>
      </c>
      <c r="G168" s="18">
        <v>1.0</v>
      </c>
      <c r="H168" s="6">
        <f>E168*PV_SESSION+F168*PV_CHALLENGE+G168*PV_WIN</f>
        <v>55</v>
      </c>
    </row>
    <row r="169" ht="15.75" customHeight="1">
      <c r="A169" s="7" t="s">
        <v>235</v>
      </c>
      <c r="B169" s="7" t="s">
        <v>236</v>
      </c>
      <c r="C169" s="7" t="s">
        <v>445</v>
      </c>
      <c r="D169" s="7" t="s">
        <v>279</v>
      </c>
      <c r="E169" s="18">
        <v>2.0</v>
      </c>
      <c r="F169" s="18">
        <v>1.0</v>
      </c>
      <c r="G169" s="19">
        <v>0.0</v>
      </c>
      <c r="H169" s="6">
        <f>E169*PV_SESSION+F169*PV_CHALLENGE+G169*PV_WIN</f>
        <v>30</v>
      </c>
    </row>
    <row r="170" ht="15.75" customHeight="1">
      <c r="A170" s="7" t="s">
        <v>235</v>
      </c>
      <c r="B170" s="7" t="s">
        <v>236</v>
      </c>
      <c r="C170" s="7" t="s">
        <v>446</v>
      </c>
      <c r="D170" s="7" t="s">
        <v>281</v>
      </c>
      <c r="E170" s="18">
        <v>2.0</v>
      </c>
      <c r="F170" s="18">
        <v>1.0</v>
      </c>
      <c r="G170" s="19">
        <v>0.0</v>
      </c>
      <c r="H170" s="6">
        <f>E170*PV_SESSION+F170*PV_CHALLENGE+G170*PV_WIN</f>
        <v>30</v>
      </c>
    </row>
    <row r="171" ht="15.75" customHeight="1">
      <c r="A171" s="7" t="s">
        <v>237</v>
      </c>
      <c r="B171" s="7" t="s">
        <v>238</v>
      </c>
      <c r="C171" s="7" t="s">
        <v>447</v>
      </c>
      <c r="D171" s="7" t="s">
        <v>279</v>
      </c>
      <c r="E171" s="19">
        <v>0.0</v>
      </c>
      <c r="F171" s="18">
        <v>1.0</v>
      </c>
      <c r="G171" s="19">
        <v>0.0</v>
      </c>
      <c r="H171" s="6">
        <f>E171*PV_SESSION+F171*PV_CHALLENGE+G171*PV_WIN</f>
        <v>20</v>
      </c>
    </row>
    <row r="172" ht="15.75" customHeight="1">
      <c r="A172" s="7" t="s">
        <v>237</v>
      </c>
      <c r="B172" s="7" t="s">
        <v>238</v>
      </c>
      <c r="C172" s="7" t="s">
        <v>448</v>
      </c>
      <c r="D172" s="7" t="s">
        <v>281</v>
      </c>
      <c r="E172" s="19">
        <v>0.0</v>
      </c>
      <c r="F172" s="19">
        <v>0.0</v>
      </c>
      <c r="G172" s="19">
        <v>0.0</v>
      </c>
      <c r="H172" s="6">
        <f>E172*PV_SESSION+F172*PV_CHALLENGE+G172*PV_WIN</f>
        <v>0</v>
      </c>
    </row>
    <row r="173" ht="15.75" customHeight="1">
      <c r="A173" s="7" t="s">
        <v>239</v>
      </c>
      <c r="B173" s="7" t="s">
        <v>240</v>
      </c>
      <c r="C173" s="7" t="s">
        <v>449</v>
      </c>
      <c r="D173" s="7" t="s">
        <v>279</v>
      </c>
      <c r="E173" s="19">
        <v>0.0</v>
      </c>
      <c r="F173" s="19">
        <v>0.0</v>
      </c>
      <c r="G173" s="19">
        <v>0.0</v>
      </c>
      <c r="H173" s="6">
        <f>E173*PV_SESSION+F173*PV_CHALLENGE+G173*PV_WIN</f>
        <v>0</v>
      </c>
    </row>
    <row r="174" ht="15.75" customHeight="1">
      <c r="A174" s="7" t="s">
        <v>239</v>
      </c>
      <c r="B174" s="7" t="s">
        <v>240</v>
      </c>
      <c r="C174" s="7" t="s">
        <v>450</v>
      </c>
      <c r="D174" s="7" t="s">
        <v>281</v>
      </c>
      <c r="E174" s="19">
        <v>0.0</v>
      </c>
      <c r="F174" s="19">
        <v>0.0</v>
      </c>
      <c r="G174" s="19">
        <v>0.0</v>
      </c>
      <c r="H174" s="6">
        <f>E174*PV_SESSION+F174*PV_CHALLENGE+G174*PV_WIN</f>
        <v>0</v>
      </c>
    </row>
    <row r="175" ht="15.75" customHeight="1">
      <c r="A175" s="7" t="s">
        <v>241</v>
      </c>
      <c r="B175" s="7" t="s">
        <v>242</v>
      </c>
      <c r="C175" s="7" t="s">
        <v>301</v>
      </c>
      <c r="D175" s="7" t="s">
        <v>279</v>
      </c>
      <c r="E175" s="19">
        <v>0.0</v>
      </c>
      <c r="F175" s="19">
        <v>0.0</v>
      </c>
      <c r="G175" s="19">
        <v>0.0</v>
      </c>
      <c r="H175" s="6">
        <f>E175*PV_SESSION+F175*PV_CHALLENGE+G175*PV_WIN</f>
        <v>0</v>
      </c>
    </row>
    <row r="176" ht="15.75" customHeight="1">
      <c r="A176" s="7" t="s">
        <v>241</v>
      </c>
      <c r="B176" s="7" t="s">
        <v>242</v>
      </c>
      <c r="C176" s="7" t="s">
        <v>451</v>
      </c>
      <c r="D176" s="7" t="s">
        <v>281</v>
      </c>
      <c r="E176" s="19">
        <v>0.0</v>
      </c>
      <c r="F176" s="18">
        <v>1.0</v>
      </c>
      <c r="G176" s="19">
        <v>0.0</v>
      </c>
      <c r="H176" s="6">
        <f>E176*PV_SESSION+F176*PV_CHALLENGE+G176*PV_WIN</f>
        <v>20</v>
      </c>
    </row>
    <row r="177" ht="15.75" customHeight="1">
      <c r="A177" s="7" t="s">
        <v>243</v>
      </c>
      <c r="B177" s="7" t="s">
        <v>244</v>
      </c>
      <c r="C177" s="7" t="s">
        <v>452</v>
      </c>
      <c r="D177" s="7" t="s">
        <v>279</v>
      </c>
      <c r="E177" s="19">
        <v>0.0</v>
      </c>
      <c r="F177" s="19">
        <v>0.0</v>
      </c>
      <c r="G177" s="19">
        <v>0.0</v>
      </c>
      <c r="H177" s="6">
        <f>E177*PV_SESSION+F177*PV_CHALLENGE+G177*PV_WIN</f>
        <v>0</v>
      </c>
    </row>
    <row r="178" ht="15.75" customHeight="1">
      <c r="A178" s="7" t="s">
        <v>243</v>
      </c>
      <c r="B178" s="7" t="s">
        <v>244</v>
      </c>
      <c r="C178" s="7" t="s">
        <v>453</v>
      </c>
      <c r="D178" s="7" t="s">
        <v>281</v>
      </c>
      <c r="E178" s="19">
        <v>0.0</v>
      </c>
      <c r="F178" s="19">
        <v>0.0</v>
      </c>
      <c r="G178" s="19">
        <v>0.0</v>
      </c>
      <c r="H178" s="6">
        <f>E178*PV_SESSION+F178*PV_CHALLENGE+G178*PV_WIN</f>
        <v>0</v>
      </c>
    </row>
    <row r="179" ht="15.75" customHeight="1">
      <c r="A179" s="7" t="s">
        <v>245</v>
      </c>
      <c r="B179" s="7" t="s">
        <v>246</v>
      </c>
      <c r="C179" s="7" t="s">
        <v>294</v>
      </c>
      <c r="D179" s="7" t="s">
        <v>279</v>
      </c>
      <c r="E179" s="18">
        <v>2.0</v>
      </c>
      <c r="F179" s="18">
        <v>1.0</v>
      </c>
      <c r="G179" s="19">
        <v>0.0</v>
      </c>
      <c r="H179" s="6">
        <f>E179*PV_SESSION+F179*PV_CHALLENGE+G179*PV_WIN</f>
        <v>30</v>
      </c>
    </row>
    <row r="180" ht="15.75" customHeight="1">
      <c r="A180" s="7" t="s">
        <v>245</v>
      </c>
      <c r="B180" s="7" t="s">
        <v>246</v>
      </c>
      <c r="C180" s="7" t="s">
        <v>454</v>
      </c>
      <c r="D180" s="7" t="s">
        <v>281</v>
      </c>
      <c r="E180" s="18">
        <v>2.0</v>
      </c>
      <c r="F180" s="18">
        <v>1.0</v>
      </c>
      <c r="G180" s="19">
        <v>0.0</v>
      </c>
      <c r="H180" s="6">
        <f>E180*PV_SESSION+F180*PV_CHALLENGE+G180*PV_WIN</f>
        <v>30</v>
      </c>
    </row>
    <row r="181" ht="15.75" customHeight="1">
      <c r="A181" s="7" t="s">
        <v>245</v>
      </c>
      <c r="B181" s="7" t="s">
        <v>246</v>
      </c>
      <c r="C181" s="7" t="s">
        <v>455</v>
      </c>
      <c r="D181" s="7" t="s">
        <v>281</v>
      </c>
      <c r="E181" s="18">
        <v>2.0</v>
      </c>
      <c r="F181" s="18">
        <v>1.0</v>
      </c>
      <c r="G181" s="19">
        <v>0.0</v>
      </c>
      <c r="H181" s="6">
        <f>E181*PV_SESSION+F181*PV_CHALLENGE+G181*PV_WIN</f>
        <v>30</v>
      </c>
    </row>
    <row r="182" ht="15.75" customHeight="1">
      <c r="A182" s="7" t="s">
        <v>245</v>
      </c>
      <c r="B182" s="7" t="s">
        <v>246</v>
      </c>
      <c r="C182" s="7" t="s">
        <v>456</v>
      </c>
      <c r="D182" s="7" t="s">
        <v>281</v>
      </c>
      <c r="E182" s="18">
        <v>2.0</v>
      </c>
      <c r="F182" s="19">
        <v>0.0</v>
      </c>
      <c r="G182" s="19">
        <v>0.0</v>
      </c>
      <c r="H182" s="6">
        <f>E182*PV_SESSION+F182*PV_CHALLENGE+G182*PV_WIN</f>
        <v>10</v>
      </c>
    </row>
    <row r="183" ht="15.75" customHeight="1">
      <c r="A183" s="7" t="s">
        <v>247</v>
      </c>
      <c r="B183" s="7" t="s">
        <v>248</v>
      </c>
      <c r="C183" s="7" t="s">
        <v>457</v>
      </c>
      <c r="D183" s="7" t="s">
        <v>279</v>
      </c>
      <c r="E183" s="19">
        <v>0.0</v>
      </c>
      <c r="F183" s="19">
        <v>0.0</v>
      </c>
      <c r="G183" s="19">
        <v>0.0</v>
      </c>
      <c r="H183" s="6">
        <f>E183*PV_SESSION+F183*PV_CHALLENGE+G183*PV_WIN</f>
        <v>0</v>
      </c>
    </row>
    <row r="184" ht="15.75" customHeight="1">
      <c r="A184" s="7" t="s">
        <v>249</v>
      </c>
      <c r="B184" s="7" t="s">
        <v>250</v>
      </c>
      <c r="C184" s="7" t="s">
        <v>458</v>
      </c>
      <c r="D184" s="7" t="s">
        <v>279</v>
      </c>
      <c r="E184" s="18">
        <v>2.0</v>
      </c>
      <c r="F184" s="18">
        <v>1.0</v>
      </c>
      <c r="G184" s="18">
        <v>1.0</v>
      </c>
      <c r="H184" s="6">
        <f>E184*PV_SESSION+F184*PV_CHALLENGE+G184*PV_WIN</f>
        <v>60</v>
      </c>
    </row>
    <row r="185" ht="15.75" customHeight="1">
      <c r="A185" s="7" t="s">
        <v>249</v>
      </c>
      <c r="B185" s="7" t="s">
        <v>250</v>
      </c>
      <c r="C185" s="7" t="s">
        <v>459</v>
      </c>
      <c r="D185" s="7" t="s">
        <v>281</v>
      </c>
      <c r="E185" s="18">
        <v>1.0</v>
      </c>
      <c r="F185" s="18">
        <v>1.0</v>
      </c>
      <c r="G185" s="19">
        <v>0.0</v>
      </c>
      <c r="H185" s="6">
        <f>E185*PV_SESSION+F185*PV_CHALLENGE+G185*PV_WIN</f>
        <v>25</v>
      </c>
    </row>
    <row r="186" ht="15.75" customHeight="1">
      <c r="A186" s="7" t="s">
        <v>249</v>
      </c>
      <c r="B186" s="7" t="s">
        <v>250</v>
      </c>
      <c r="C186" s="7" t="s">
        <v>460</v>
      </c>
      <c r="D186" s="7" t="s">
        <v>281</v>
      </c>
      <c r="E186" s="18">
        <v>2.0</v>
      </c>
      <c r="F186" s="18">
        <v>1.0</v>
      </c>
      <c r="G186" s="19">
        <v>0.0</v>
      </c>
      <c r="H186" s="6">
        <f>E186*PV_SESSION+F186*PV_CHALLENGE+G186*PV_WIN</f>
        <v>30</v>
      </c>
    </row>
    <row r="187" ht="15.75" customHeight="1">
      <c r="A187" s="7" t="s">
        <v>249</v>
      </c>
      <c r="B187" s="7" t="s">
        <v>250</v>
      </c>
      <c r="C187" s="7" t="s">
        <v>461</v>
      </c>
      <c r="D187" s="7" t="s">
        <v>281</v>
      </c>
      <c r="E187" s="18">
        <v>1.0</v>
      </c>
      <c r="F187" s="18">
        <v>1.0</v>
      </c>
      <c r="G187" s="19">
        <v>0.0</v>
      </c>
      <c r="H187" s="6">
        <f>E187*PV_SESSION+F187*PV_CHALLENGE+G187*PV_WIN</f>
        <v>25</v>
      </c>
    </row>
    <row r="188" ht="15.75" customHeight="1">
      <c r="A188" s="7" t="s">
        <v>251</v>
      </c>
      <c r="B188" s="7" t="s">
        <v>252</v>
      </c>
      <c r="C188" s="7" t="s">
        <v>462</v>
      </c>
      <c r="D188" s="7" t="s">
        <v>279</v>
      </c>
      <c r="E188" s="18">
        <v>2.0</v>
      </c>
      <c r="F188" s="19">
        <v>0.0</v>
      </c>
      <c r="G188" s="19">
        <v>0.0</v>
      </c>
      <c r="H188" s="6">
        <f>E188*PV_SESSION+F188*PV_CHALLENGE+G188*PV_WIN</f>
        <v>10</v>
      </c>
    </row>
    <row r="189" ht="15.75" customHeight="1">
      <c r="A189" s="7" t="s">
        <v>251</v>
      </c>
      <c r="B189" s="7" t="s">
        <v>252</v>
      </c>
      <c r="C189" s="7" t="s">
        <v>463</v>
      </c>
      <c r="D189" s="7" t="s">
        <v>281</v>
      </c>
      <c r="E189" s="18">
        <v>2.0</v>
      </c>
      <c r="F189" s="19">
        <v>0.0</v>
      </c>
      <c r="G189" s="19">
        <v>0.0</v>
      </c>
      <c r="H189" s="6">
        <f>E189*PV_SESSION+F189*PV_CHALLENGE+G189*PV_WIN</f>
        <v>10</v>
      </c>
    </row>
    <row r="190" ht="15.75" customHeight="1">
      <c r="A190" s="7" t="s">
        <v>253</v>
      </c>
      <c r="B190" s="7" t="s">
        <v>254</v>
      </c>
      <c r="C190" s="7" t="s">
        <v>464</v>
      </c>
      <c r="D190" s="7" t="s">
        <v>279</v>
      </c>
      <c r="E190" s="19">
        <v>0.0</v>
      </c>
      <c r="F190" s="18">
        <v>1.0</v>
      </c>
      <c r="G190" s="19">
        <v>0.0</v>
      </c>
      <c r="H190" s="6">
        <f>E190*PV_SESSION+F190*PV_CHALLENGE+G190*PV_WIN</f>
        <v>20</v>
      </c>
    </row>
    <row r="191" ht="15.75" customHeight="1">
      <c r="A191" s="7" t="s">
        <v>253</v>
      </c>
      <c r="B191" s="7" t="s">
        <v>254</v>
      </c>
      <c r="C191" s="7" t="s">
        <v>465</v>
      </c>
      <c r="D191" s="7" t="s">
        <v>281</v>
      </c>
      <c r="E191" s="19">
        <v>0.0</v>
      </c>
      <c r="F191" s="18">
        <v>1.0</v>
      </c>
      <c r="G191" s="19">
        <v>0.0</v>
      </c>
      <c r="H191" s="6">
        <f>E191*PV_SESSION+F191*PV_CHALLENGE+G191*PV_WIN</f>
        <v>20</v>
      </c>
    </row>
    <row r="192" ht="15.75" customHeight="1">
      <c r="A192" s="7" t="s">
        <v>253</v>
      </c>
      <c r="B192" s="7" t="s">
        <v>254</v>
      </c>
      <c r="C192" s="7" t="s">
        <v>466</v>
      </c>
      <c r="D192" s="7" t="s">
        <v>281</v>
      </c>
      <c r="E192" s="19">
        <v>0.0</v>
      </c>
      <c r="F192" s="19">
        <v>0.0</v>
      </c>
      <c r="G192" s="19">
        <v>0.0</v>
      </c>
      <c r="H192" s="6">
        <f>E192*PV_SESSION+F192*PV_CHALLENGE+G192*PV_WIN</f>
        <v>0</v>
      </c>
    </row>
    <row r="193" ht="15.75" customHeight="1">
      <c r="A193" s="7" t="s">
        <v>256</v>
      </c>
      <c r="B193" s="7" t="s">
        <v>257</v>
      </c>
      <c r="C193" s="7" t="s">
        <v>467</v>
      </c>
      <c r="D193" s="7" t="s">
        <v>279</v>
      </c>
      <c r="E193" s="19">
        <v>0.0</v>
      </c>
      <c r="F193" s="19">
        <v>0.0</v>
      </c>
      <c r="G193" s="19">
        <v>0.0</v>
      </c>
      <c r="H193" s="6">
        <f>E193*PV_SESSION+F193*PV_CHALLENGE+G193*PV_WIN</f>
        <v>0</v>
      </c>
    </row>
    <row r="194" ht="15.75" customHeight="1">
      <c r="A194" s="7" t="s">
        <v>256</v>
      </c>
      <c r="B194" s="7" t="s">
        <v>257</v>
      </c>
      <c r="C194" s="7" t="s">
        <v>468</v>
      </c>
      <c r="D194" s="7" t="s">
        <v>281</v>
      </c>
      <c r="E194" s="19">
        <v>0.0</v>
      </c>
      <c r="F194" s="19">
        <v>0.0</v>
      </c>
      <c r="G194" s="19">
        <v>0.0</v>
      </c>
      <c r="H194" s="6">
        <f>E194*PV_SESSION+F194*PV_CHALLENGE+G194*PV_WIN</f>
        <v>0</v>
      </c>
    </row>
    <row r="195" ht="15.75" customHeight="1">
      <c r="A195" s="7" t="s">
        <v>258</v>
      </c>
      <c r="B195" s="7" t="s">
        <v>259</v>
      </c>
      <c r="C195" s="7" t="s">
        <v>469</v>
      </c>
      <c r="D195" s="7" t="s">
        <v>279</v>
      </c>
      <c r="E195" s="18">
        <v>2.0</v>
      </c>
      <c r="F195" s="19">
        <v>0.0</v>
      </c>
      <c r="G195" s="19">
        <v>0.0</v>
      </c>
      <c r="H195" s="6">
        <f>E195*PV_SESSION+F195*PV_CHALLENGE+G195*PV_WIN</f>
        <v>10</v>
      </c>
    </row>
    <row r="196" ht="15.75" customHeight="1">
      <c r="A196" s="7" t="s">
        <v>258</v>
      </c>
      <c r="B196" s="7" t="s">
        <v>259</v>
      </c>
      <c r="C196" s="7" t="s">
        <v>470</v>
      </c>
      <c r="D196" s="7" t="s">
        <v>281</v>
      </c>
      <c r="E196" s="18">
        <v>2.0</v>
      </c>
      <c r="F196" s="18">
        <v>1.0</v>
      </c>
      <c r="G196" s="19">
        <v>0.0</v>
      </c>
      <c r="H196" s="6">
        <f>E196*PV_SESSION+F196*PV_CHALLENGE+G196*PV_WIN</f>
        <v>30</v>
      </c>
    </row>
    <row r="197" ht="15.75" customHeight="1">
      <c r="A197" s="7" t="s">
        <v>258</v>
      </c>
      <c r="B197" s="7" t="s">
        <v>259</v>
      </c>
      <c r="C197" s="7" t="s">
        <v>471</v>
      </c>
      <c r="D197" s="7" t="s">
        <v>281</v>
      </c>
      <c r="E197" s="18">
        <v>2.0</v>
      </c>
      <c r="F197" s="19">
        <v>0.0</v>
      </c>
      <c r="G197" s="19">
        <v>0.0</v>
      </c>
      <c r="H197" s="6">
        <f>E197*PV_SESSION+F197*PV_CHALLENGE+G197*PV_WIN</f>
        <v>10</v>
      </c>
    </row>
    <row r="198" ht="15.75" customHeight="1">
      <c r="A198" s="7" t="s">
        <v>258</v>
      </c>
      <c r="B198" s="7" t="s">
        <v>259</v>
      </c>
      <c r="C198" s="7" t="s">
        <v>472</v>
      </c>
      <c r="D198" s="7" t="s">
        <v>281</v>
      </c>
      <c r="E198" s="18">
        <v>2.0</v>
      </c>
      <c r="F198" s="19">
        <v>0.0</v>
      </c>
      <c r="G198" s="19">
        <v>0.0</v>
      </c>
      <c r="H198" s="6">
        <f>E198*PV_SESSION+F198*PV_CHALLENGE+G198*PV_WIN</f>
        <v>10</v>
      </c>
    </row>
    <row r="199" ht="15.75" customHeight="1">
      <c r="A199" s="7" t="s">
        <v>260</v>
      </c>
      <c r="B199" s="7" t="s">
        <v>261</v>
      </c>
      <c r="C199" s="7" t="s">
        <v>473</v>
      </c>
      <c r="D199" s="7" t="s">
        <v>279</v>
      </c>
      <c r="E199" s="18">
        <v>2.0</v>
      </c>
      <c r="F199" s="18">
        <v>1.0</v>
      </c>
      <c r="G199" s="19">
        <v>0.0</v>
      </c>
      <c r="H199" s="6">
        <f>E199*PV_SESSION+F199*PV_CHALLENGE+G199*PV_WIN</f>
        <v>30</v>
      </c>
    </row>
    <row r="200" ht="15.75" customHeight="1">
      <c r="A200" s="7" t="s">
        <v>260</v>
      </c>
      <c r="B200" s="7" t="s">
        <v>261</v>
      </c>
      <c r="C200" s="7" t="s">
        <v>474</v>
      </c>
      <c r="D200" s="7" t="s">
        <v>281</v>
      </c>
      <c r="E200" s="18">
        <v>1.0</v>
      </c>
      <c r="F200" s="19">
        <v>0.0</v>
      </c>
      <c r="G200" s="19">
        <v>0.0</v>
      </c>
      <c r="H200" s="6">
        <f>E200*PV_SESSION+F200*PV_CHALLENGE+G200*PV_WIN</f>
        <v>5</v>
      </c>
    </row>
    <row r="201" ht="15.75" customHeight="1">
      <c r="A201" s="7" t="s">
        <v>262</v>
      </c>
      <c r="B201" s="7" t="s">
        <v>263</v>
      </c>
      <c r="C201" s="7" t="s">
        <v>475</v>
      </c>
      <c r="D201" s="7" t="s">
        <v>279</v>
      </c>
      <c r="E201" s="19">
        <v>0.0</v>
      </c>
      <c r="F201" s="19">
        <v>0.0</v>
      </c>
      <c r="G201" s="19">
        <v>0.0</v>
      </c>
      <c r="H201" s="6">
        <f>E201*PV_SESSION+F201*PV_CHALLENGE+G201*PV_WIN</f>
        <v>0</v>
      </c>
    </row>
    <row r="202" ht="15.75" customHeight="1">
      <c r="A202" s="7" t="s">
        <v>262</v>
      </c>
      <c r="B202" s="7" t="s">
        <v>263</v>
      </c>
      <c r="C202" s="7" t="s">
        <v>476</v>
      </c>
      <c r="D202" s="7" t="s">
        <v>281</v>
      </c>
      <c r="E202" s="19">
        <v>0.0</v>
      </c>
      <c r="F202" s="19">
        <v>0.0</v>
      </c>
      <c r="G202" s="19">
        <v>0.0</v>
      </c>
      <c r="H202" s="6">
        <f>E202*PV_SESSION+F202*PV_CHALLENGE+G202*PV_WIN</f>
        <v>0</v>
      </c>
    </row>
    <row r="203" ht="15.75" customHeight="1">
      <c r="A203" s="7" t="s">
        <v>262</v>
      </c>
      <c r="B203" s="7" t="s">
        <v>263</v>
      </c>
      <c r="C203" s="7" t="s">
        <v>477</v>
      </c>
      <c r="D203" s="7" t="s">
        <v>281</v>
      </c>
      <c r="E203" s="19">
        <v>0.0</v>
      </c>
      <c r="F203" s="19">
        <v>0.0</v>
      </c>
      <c r="G203" s="19">
        <v>0.0</v>
      </c>
      <c r="H203" s="6">
        <f>E203*PV_SESSION+F203*PV_CHALLENGE+G203*PV_WIN</f>
        <v>0</v>
      </c>
    </row>
    <row r="204" ht="15.75" customHeight="1">
      <c r="A204" s="7" t="s">
        <v>264</v>
      </c>
      <c r="B204" s="7" t="s">
        <v>265</v>
      </c>
      <c r="C204" s="7" t="s">
        <v>478</v>
      </c>
      <c r="D204" s="7" t="s">
        <v>279</v>
      </c>
      <c r="E204" s="19">
        <v>0.0</v>
      </c>
      <c r="F204" s="19">
        <v>0.0</v>
      </c>
      <c r="G204" s="19">
        <v>0.0</v>
      </c>
      <c r="H204" s="6">
        <f>E204*PV_SESSION+F204*PV_CHALLENGE+G204*PV_WIN</f>
        <v>0</v>
      </c>
    </row>
    <row r="205" ht="15.75" customHeight="1">
      <c r="A205" s="7" t="s">
        <v>264</v>
      </c>
      <c r="B205" s="7" t="s">
        <v>265</v>
      </c>
      <c r="C205" s="7" t="s">
        <v>479</v>
      </c>
      <c r="D205" s="7" t="s">
        <v>281</v>
      </c>
      <c r="E205" s="19">
        <v>0.0</v>
      </c>
      <c r="F205" s="19">
        <v>0.0</v>
      </c>
      <c r="G205" s="19">
        <v>0.0</v>
      </c>
      <c r="H205" s="6">
        <f>E205*PV_SESSION+F205*PV_CHALLENGE+G205*PV_WIN</f>
        <v>0</v>
      </c>
    </row>
    <row r="206" ht="15.75" customHeight="1">
      <c r="A206" s="7" t="s">
        <v>266</v>
      </c>
      <c r="B206" s="7" t="s">
        <v>267</v>
      </c>
      <c r="C206" s="7" t="s">
        <v>480</v>
      </c>
      <c r="D206" s="7" t="s">
        <v>279</v>
      </c>
      <c r="E206" s="19">
        <v>0.0</v>
      </c>
      <c r="F206" s="18">
        <v>1.0</v>
      </c>
      <c r="G206" s="19">
        <v>0.0</v>
      </c>
      <c r="H206" s="6">
        <f>E206*PV_SESSION+F206*PV_CHALLENGE+G206*PV_WIN</f>
        <v>20</v>
      </c>
    </row>
    <row r="207" ht="15.75" customHeight="1">
      <c r="A207" s="7" t="s">
        <v>266</v>
      </c>
      <c r="B207" s="7" t="s">
        <v>267</v>
      </c>
      <c r="C207" s="7" t="s">
        <v>481</v>
      </c>
      <c r="D207" s="7" t="s">
        <v>281</v>
      </c>
      <c r="E207" s="19">
        <v>0.0</v>
      </c>
      <c r="F207" s="18">
        <v>1.0</v>
      </c>
      <c r="G207" s="19">
        <v>0.0</v>
      </c>
      <c r="H207" s="6">
        <f>E207*PV_SESSION+F207*PV_CHALLENGE+G207*PV_WIN</f>
        <v>20</v>
      </c>
    </row>
    <row r="208" ht="15.75" customHeight="1">
      <c r="A208" s="7" t="s">
        <v>266</v>
      </c>
      <c r="B208" s="7" t="s">
        <v>267</v>
      </c>
      <c r="C208" s="7" t="s">
        <v>444</v>
      </c>
      <c r="D208" s="7" t="s">
        <v>281</v>
      </c>
      <c r="E208" s="19">
        <v>0.0</v>
      </c>
      <c r="F208" s="18">
        <v>1.0</v>
      </c>
      <c r="G208" s="19">
        <v>0.0</v>
      </c>
      <c r="H208" s="6">
        <f>E208*PV_SESSION+F208*PV_CHALLENGE+G208*PV_WIN</f>
        <v>20</v>
      </c>
    </row>
    <row r="209" ht="15.75" customHeight="1">
      <c r="A209" s="7" t="s">
        <v>266</v>
      </c>
      <c r="B209" s="7" t="s">
        <v>267</v>
      </c>
      <c r="C209" s="7" t="s">
        <v>464</v>
      </c>
      <c r="D209" s="7" t="s">
        <v>281</v>
      </c>
      <c r="E209" s="19">
        <v>0.0</v>
      </c>
      <c r="F209" s="18">
        <v>0.0</v>
      </c>
      <c r="G209" s="19">
        <v>0.0</v>
      </c>
      <c r="H209" s="6">
        <f>E209*PV_SESSION+F209*PV_CHALLENGE+G209*PV_WIN</f>
        <v>0</v>
      </c>
    </row>
    <row r="210" ht="15.75" customHeight="1">
      <c r="A210" s="7" t="s">
        <v>268</v>
      </c>
      <c r="B210" s="7" t="s">
        <v>269</v>
      </c>
      <c r="C210" s="7" t="s">
        <v>482</v>
      </c>
      <c r="D210" s="7" t="s">
        <v>279</v>
      </c>
      <c r="E210" s="19">
        <v>0.0</v>
      </c>
      <c r="F210" s="19">
        <v>0.0</v>
      </c>
      <c r="G210" s="19">
        <v>0.0</v>
      </c>
      <c r="H210" s="6">
        <f>E210*PV_SESSION+F210*PV_CHALLENGE+G210*PV_WIN</f>
        <v>0</v>
      </c>
    </row>
    <row r="211" ht="15.75" customHeight="1">
      <c r="A211" s="7" t="s">
        <v>268</v>
      </c>
      <c r="B211" s="7" t="s">
        <v>269</v>
      </c>
      <c r="C211" s="7" t="s">
        <v>483</v>
      </c>
      <c r="D211" s="7" t="s">
        <v>281</v>
      </c>
      <c r="E211" s="19">
        <v>0.0</v>
      </c>
      <c r="F211" s="19">
        <v>0.0</v>
      </c>
      <c r="G211" s="19">
        <v>0.0</v>
      </c>
      <c r="H211" s="6">
        <f>E211*PV_SESSION+F211*PV_CHALLENGE+G211*PV_WIN</f>
        <v>0</v>
      </c>
    </row>
    <row r="212" ht="15.75" customHeight="1">
      <c r="A212" s="7" t="s">
        <v>270</v>
      </c>
      <c r="B212" s="7" t="s">
        <v>271</v>
      </c>
      <c r="C212" s="7" t="s">
        <v>484</v>
      </c>
      <c r="D212" s="7" t="s">
        <v>279</v>
      </c>
      <c r="E212" s="18">
        <v>2.0</v>
      </c>
      <c r="F212" s="18">
        <v>1.0</v>
      </c>
      <c r="G212" s="19">
        <v>0.0</v>
      </c>
      <c r="H212" s="6">
        <f>E212*PV_SESSION+F212*PV_CHALLENGE+G212*PV_WIN</f>
        <v>30</v>
      </c>
    </row>
    <row r="213" ht="15.75" customHeight="1">
      <c r="A213" s="7" t="s">
        <v>270</v>
      </c>
      <c r="B213" s="7" t="s">
        <v>271</v>
      </c>
      <c r="C213" s="7" t="s">
        <v>485</v>
      </c>
      <c r="D213" s="7" t="s">
        <v>281</v>
      </c>
      <c r="E213" s="18">
        <v>2.0</v>
      </c>
      <c r="F213" s="18">
        <v>1.0</v>
      </c>
      <c r="G213" s="19">
        <v>0.0</v>
      </c>
      <c r="H213" s="6">
        <f>E213*PV_SESSION+F213*PV_CHALLENGE+G213*PV_WIN</f>
        <v>30</v>
      </c>
    </row>
    <row r="214" ht="15.75" customHeight="1">
      <c r="A214" s="7" t="s">
        <v>272</v>
      </c>
      <c r="B214" s="7" t="s">
        <v>273</v>
      </c>
      <c r="C214" s="7" t="s">
        <v>486</v>
      </c>
      <c r="D214" s="7" t="s">
        <v>279</v>
      </c>
      <c r="E214" s="18">
        <v>2.0</v>
      </c>
      <c r="F214" s="19">
        <v>0.0</v>
      </c>
      <c r="G214" s="19">
        <v>0.0</v>
      </c>
      <c r="H214" s="6">
        <f>E214*PV_SESSION+F214*PV_CHALLENGE+G214*PV_WIN</f>
        <v>10</v>
      </c>
    </row>
    <row r="215" ht="15.75" customHeight="1">
      <c r="A215" s="7" t="s">
        <v>272</v>
      </c>
      <c r="B215" s="7" t="s">
        <v>273</v>
      </c>
      <c r="C215" s="7" t="s">
        <v>487</v>
      </c>
      <c r="D215" s="7" t="s">
        <v>281</v>
      </c>
      <c r="E215" s="18">
        <v>2.0</v>
      </c>
      <c r="F215" s="19">
        <v>0.0</v>
      </c>
      <c r="G215" s="19">
        <v>0.0</v>
      </c>
      <c r="H215" s="6">
        <f>E215*PV_SESSION+F215*PV_CHALLENGE+G215*PV_WIN</f>
        <v>10</v>
      </c>
    </row>
    <row r="216" ht="15.75" customHeight="1">
      <c r="A216" s="7" t="s">
        <v>272</v>
      </c>
      <c r="B216" s="7" t="s">
        <v>273</v>
      </c>
      <c r="C216" s="7" t="s">
        <v>488</v>
      </c>
      <c r="D216" s="7" t="s">
        <v>281</v>
      </c>
      <c r="E216" s="18">
        <v>2.0</v>
      </c>
      <c r="F216" s="19">
        <v>0.0</v>
      </c>
      <c r="G216" s="19">
        <v>0.0</v>
      </c>
      <c r="H216" s="6">
        <f>E216*PV_SESSION+F216*PV_CHALLENGE+G216*PV_WIN</f>
        <v>10</v>
      </c>
    </row>
    <row r="217" ht="15.75" customHeight="1">
      <c r="A217" s="7" t="s">
        <v>272</v>
      </c>
      <c r="B217" s="7" t="s">
        <v>273</v>
      </c>
      <c r="C217" s="7" t="s">
        <v>489</v>
      </c>
      <c r="D217" s="7" t="s">
        <v>281</v>
      </c>
      <c r="E217" s="18">
        <v>2.0</v>
      </c>
      <c r="F217" s="19">
        <v>0.0</v>
      </c>
      <c r="G217" s="19">
        <v>0.0</v>
      </c>
      <c r="H217" s="6">
        <f>E217*PV_SESSION+F217*PV_CHALLENGE+G217*PV_WIN</f>
        <v>10</v>
      </c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24.0"/>
    <col customWidth="1" min="4" max="4" width="14.0"/>
    <col customWidth="1" min="5" max="5" width="16.0"/>
    <col customWidth="1" min="6" max="6" width="22.0"/>
    <col customWidth="1" min="7" max="7" width="18.0"/>
    <col customWidth="1" min="8" max="8" width="16.0"/>
    <col customWidth="1" min="9" max="26" width="8.71"/>
  </cols>
  <sheetData>
    <row r="1">
      <c r="A1" s="3" t="s">
        <v>69</v>
      </c>
      <c r="B1" s="3" t="s">
        <v>70</v>
      </c>
      <c r="C1" s="3" t="s">
        <v>276</v>
      </c>
      <c r="D1" s="3" t="s">
        <v>277</v>
      </c>
      <c r="E1" s="3" t="s">
        <v>490</v>
      </c>
      <c r="F1" s="3" t="s">
        <v>491</v>
      </c>
      <c r="G1" s="3" t="s">
        <v>492</v>
      </c>
      <c r="H1" s="3" t="s">
        <v>493</v>
      </c>
    </row>
    <row r="2">
      <c r="A2" s="7" t="s">
        <v>79</v>
      </c>
      <c r="B2" s="7" t="s">
        <v>80</v>
      </c>
      <c r="C2" s="7" t="s">
        <v>278</v>
      </c>
      <c r="D2" s="7" t="s">
        <v>279</v>
      </c>
      <c r="E2" s="18">
        <v>4.0</v>
      </c>
      <c r="F2" s="18">
        <v>1.0</v>
      </c>
      <c r="G2" s="18">
        <v>1.0</v>
      </c>
      <c r="H2" s="6">
        <f>E2*PV_SESSION+F2*PV_CHALLENGE+G2*PV_WIN</f>
        <v>70</v>
      </c>
    </row>
    <row r="3">
      <c r="A3" s="7" t="s">
        <v>79</v>
      </c>
      <c r="B3" s="7" t="s">
        <v>80</v>
      </c>
      <c r="C3" s="7" t="s">
        <v>280</v>
      </c>
      <c r="D3" s="7" t="s">
        <v>281</v>
      </c>
      <c r="E3" s="18">
        <v>4.0</v>
      </c>
      <c r="F3" s="18">
        <v>1.0</v>
      </c>
      <c r="G3" s="18">
        <v>1.0</v>
      </c>
      <c r="H3" s="6">
        <f>E3*PV_SESSION+F3*PV_CHALLENGE+G3*PV_WIN</f>
        <v>70</v>
      </c>
    </row>
    <row r="4">
      <c r="A4" s="7" t="s">
        <v>79</v>
      </c>
      <c r="B4" s="7" t="s">
        <v>80</v>
      </c>
      <c r="C4" s="7" t="s">
        <v>282</v>
      </c>
      <c r="D4" s="7" t="s">
        <v>281</v>
      </c>
      <c r="E4" s="18">
        <v>4.0</v>
      </c>
      <c r="F4" s="18">
        <v>1.0</v>
      </c>
      <c r="G4" s="19">
        <v>0.0</v>
      </c>
      <c r="H4" s="6">
        <f>E4*PV_SESSION+F4*PV_CHALLENGE+G4*PV_WIN</f>
        <v>40</v>
      </c>
    </row>
    <row r="5">
      <c r="A5" s="7" t="s">
        <v>79</v>
      </c>
      <c r="B5" s="7" t="s">
        <v>80</v>
      </c>
      <c r="C5" s="7" t="s">
        <v>283</v>
      </c>
      <c r="D5" s="7" t="s">
        <v>281</v>
      </c>
      <c r="E5" s="18">
        <v>4.0</v>
      </c>
      <c r="F5" s="18">
        <v>1.0</v>
      </c>
      <c r="G5" s="19">
        <v>0.0</v>
      </c>
      <c r="H5" s="6">
        <f>E5*PV_SESSION+F5*PV_CHALLENGE+G5*PV_WIN</f>
        <v>40</v>
      </c>
    </row>
    <row r="6">
      <c r="A6" s="7" t="s">
        <v>82</v>
      </c>
      <c r="B6" s="7" t="s">
        <v>83</v>
      </c>
      <c r="C6" s="7" t="s">
        <v>284</v>
      </c>
      <c r="D6" s="7" t="s">
        <v>279</v>
      </c>
      <c r="E6" s="18">
        <v>4.0</v>
      </c>
      <c r="F6" s="18">
        <v>1.0</v>
      </c>
      <c r="G6" s="19">
        <v>0.0</v>
      </c>
      <c r="H6" s="6">
        <f>E6*PV_SESSION+F6*PV_CHALLENGE+G6*PV_WIN</f>
        <v>40</v>
      </c>
    </row>
    <row r="7">
      <c r="A7" s="7" t="s">
        <v>82</v>
      </c>
      <c r="B7" s="7" t="s">
        <v>83</v>
      </c>
      <c r="C7" s="7" t="s">
        <v>285</v>
      </c>
      <c r="D7" s="7" t="s">
        <v>281</v>
      </c>
      <c r="E7" s="18">
        <v>4.0</v>
      </c>
      <c r="F7" s="18">
        <v>1.0</v>
      </c>
      <c r="G7" s="19">
        <v>0.0</v>
      </c>
      <c r="H7" s="6">
        <f>E7*PV_SESSION+F7*PV_CHALLENGE+G7*PV_WIN</f>
        <v>40</v>
      </c>
    </row>
    <row r="8">
      <c r="A8" s="7" t="s">
        <v>84</v>
      </c>
      <c r="B8" s="7" t="s">
        <v>85</v>
      </c>
      <c r="C8" s="7" t="s">
        <v>286</v>
      </c>
      <c r="D8" s="7" t="s">
        <v>279</v>
      </c>
      <c r="E8" s="19">
        <v>0.0</v>
      </c>
      <c r="F8" s="19">
        <v>0.0</v>
      </c>
      <c r="G8" s="19">
        <v>0.0</v>
      </c>
      <c r="H8" s="6">
        <f>E8*PV_SESSION+F8*PV_CHALLENGE+G8*PV_WIN</f>
        <v>0</v>
      </c>
    </row>
    <row r="9">
      <c r="A9" s="7" t="s">
        <v>84</v>
      </c>
      <c r="B9" s="7" t="s">
        <v>85</v>
      </c>
      <c r="C9" s="7" t="s">
        <v>287</v>
      </c>
      <c r="D9" s="7" t="s">
        <v>281</v>
      </c>
      <c r="E9" s="19">
        <v>0.0</v>
      </c>
      <c r="F9" s="19">
        <v>0.0</v>
      </c>
      <c r="G9" s="19">
        <v>0.0</v>
      </c>
      <c r="H9" s="6">
        <f>E9*PV_SESSION+F9*PV_CHALLENGE+G9*PV_WIN</f>
        <v>0</v>
      </c>
    </row>
    <row r="10">
      <c r="A10" s="7" t="s">
        <v>87</v>
      </c>
      <c r="B10" s="7" t="s">
        <v>88</v>
      </c>
      <c r="C10" s="7" t="s">
        <v>288</v>
      </c>
      <c r="D10" s="7" t="s">
        <v>279</v>
      </c>
      <c r="E10" s="18">
        <v>4.0</v>
      </c>
      <c r="F10" s="19">
        <v>0.0</v>
      </c>
      <c r="G10" s="19">
        <v>0.0</v>
      </c>
      <c r="H10" s="6">
        <f>E10*PV_SESSION+F10*PV_CHALLENGE+G10*PV_WIN</f>
        <v>20</v>
      </c>
    </row>
    <row r="11">
      <c r="A11" s="7" t="s">
        <v>87</v>
      </c>
      <c r="B11" s="7" t="s">
        <v>88</v>
      </c>
      <c r="C11" s="7" t="s">
        <v>289</v>
      </c>
      <c r="D11" s="7" t="s">
        <v>281</v>
      </c>
      <c r="E11" s="18">
        <v>4.0</v>
      </c>
      <c r="F11" s="19">
        <v>0.0</v>
      </c>
      <c r="G11" s="19">
        <v>0.0</v>
      </c>
      <c r="H11" s="6">
        <f>E11*PV_SESSION+F11*PV_CHALLENGE+G11*PV_WIN</f>
        <v>20</v>
      </c>
    </row>
    <row r="12">
      <c r="A12" s="7" t="s">
        <v>89</v>
      </c>
      <c r="B12" s="7" t="s">
        <v>90</v>
      </c>
      <c r="C12" s="7" t="s">
        <v>290</v>
      </c>
      <c r="D12" s="7" t="s">
        <v>279</v>
      </c>
      <c r="E12" s="19">
        <v>0.0</v>
      </c>
      <c r="F12" s="19">
        <v>0.0</v>
      </c>
      <c r="G12" s="19">
        <v>0.0</v>
      </c>
      <c r="H12" s="6">
        <f>E12*PV_SESSION+F12*PV_CHALLENGE+G12*PV_WIN</f>
        <v>0</v>
      </c>
    </row>
    <row r="13">
      <c r="A13" s="7" t="s">
        <v>89</v>
      </c>
      <c r="B13" s="7" t="s">
        <v>90</v>
      </c>
      <c r="C13" s="7" t="s">
        <v>291</v>
      </c>
      <c r="D13" s="7" t="s">
        <v>281</v>
      </c>
      <c r="E13" s="19">
        <v>0.0</v>
      </c>
      <c r="F13" s="19">
        <v>0.0</v>
      </c>
      <c r="G13" s="19">
        <v>0.0</v>
      </c>
      <c r="H13" s="6">
        <f>E13*PV_SESSION+F13*PV_CHALLENGE+G13*PV_WIN</f>
        <v>0</v>
      </c>
    </row>
    <row r="14">
      <c r="A14" s="7" t="s">
        <v>91</v>
      </c>
      <c r="B14" s="7" t="s">
        <v>92</v>
      </c>
      <c r="C14" s="7" t="s">
        <v>292</v>
      </c>
      <c r="D14" s="7" t="s">
        <v>279</v>
      </c>
      <c r="E14" s="19">
        <v>0.0</v>
      </c>
      <c r="F14" s="18">
        <v>1.0</v>
      </c>
      <c r="G14" s="19">
        <v>0.0</v>
      </c>
      <c r="H14" s="6">
        <f>E14*PV_SESSION+F14*PV_CHALLENGE+G14*PV_WIN</f>
        <v>20</v>
      </c>
    </row>
    <row r="15">
      <c r="A15" s="7" t="s">
        <v>91</v>
      </c>
      <c r="B15" s="7" t="s">
        <v>92</v>
      </c>
      <c r="C15" s="7" t="s">
        <v>293</v>
      </c>
      <c r="D15" s="7" t="s">
        <v>281</v>
      </c>
      <c r="E15" s="19">
        <v>0.0</v>
      </c>
      <c r="F15" s="18">
        <v>1.0</v>
      </c>
      <c r="G15" s="19">
        <v>0.0</v>
      </c>
      <c r="H15" s="6">
        <f>E15*PV_SESSION+F15*PV_CHALLENGE+G15*PV_WIN</f>
        <v>20</v>
      </c>
    </row>
    <row r="16">
      <c r="A16" s="7" t="s">
        <v>93</v>
      </c>
      <c r="B16" s="7" t="s">
        <v>94</v>
      </c>
      <c r="C16" s="7" t="s">
        <v>294</v>
      </c>
      <c r="D16" s="7" t="s">
        <v>279</v>
      </c>
      <c r="E16" s="18">
        <v>4.0</v>
      </c>
      <c r="F16" s="18">
        <v>1.0</v>
      </c>
      <c r="G16" s="19">
        <v>0.0</v>
      </c>
      <c r="H16" s="6">
        <f>E16*PV_SESSION+F16*PV_CHALLENGE+G16*PV_WIN</f>
        <v>40</v>
      </c>
    </row>
    <row r="17">
      <c r="A17" s="7" t="s">
        <v>93</v>
      </c>
      <c r="B17" s="7" t="s">
        <v>94</v>
      </c>
      <c r="C17" s="7" t="s">
        <v>295</v>
      </c>
      <c r="D17" s="7" t="s">
        <v>281</v>
      </c>
      <c r="E17" s="18">
        <v>4.0</v>
      </c>
      <c r="F17" s="18">
        <v>1.0</v>
      </c>
      <c r="G17" s="19">
        <v>0.0</v>
      </c>
      <c r="H17" s="6">
        <f>E17*PV_SESSION+F17*PV_CHALLENGE+G17*PV_WIN</f>
        <v>40</v>
      </c>
    </row>
    <row r="18">
      <c r="A18" s="7" t="s">
        <v>93</v>
      </c>
      <c r="B18" s="7" t="s">
        <v>94</v>
      </c>
      <c r="C18" s="7" t="s">
        <v>296</v>
      </c>
      <c r="D18" s="7" t="s">
        <v>281</v>
      </c>
      <c r="E18" s="18">
        <v>4.0</v>
      </c>
      <c r="F18" s="18">
        <v>1.0</v>
      </c>
      <c r="G18" s="19">
        <v>0.0</v>
      </c>
      <c r="H18" s="6">
        <f>E18*PV_SESSION+F18*PV_CHALLENGE+G18*PV_WIN</f>
        <v>40</v>
      </c>
    </row>
    <row r="19">
      <c r="A19" s="7" t="s">
        <v>93</v>
      </c>
      <c r="B19" s="7" t="s">
        <v>94</v>
      </c>
      <c r="C19" s="7" t="s">
        <v>297</v>
      </c>
      <c r="D19" s="7" t="s">
        <v>281</v>
      </c>
      <c r="E19" s="18">
        <v>4.0</v>
      </c>
      <c r="F19" s="18">
        <v>1.0</v>
      </c>
      <c r="G19" s="19">
        <v>0.0</v>
      </c>
      <c r="H19" s="6">
        <f>E19*PV_SESSION+F19*PV_CHALLENGE+G19*PV_WIN</f>
        <v>40</v>
      </c>
    </row>
    <row r="20">
      <c r="A20" s="7" t="s">
        <v>96</v>
      </c>
      <c r="B20" s="7" t="s">
        <v>97</v>
      </c>
      <c r="C20" s="7" t="s">
        <v>298</v>
      </c>
      <c r="D20" s="7" t="s">
        <v>279</v>
      </c>
      <c r="E20" s="19">
        <v>0.0</v>
      </c>
      <c r="F20" s="19">
        <v>0.0</v>
      </c>
      <c r="G20" s="19">
        <v>0.0</v>
      </c>
      <c r="H20" s="6">
        <f>E20*PV_SESSION+F20*PV_CHALLENGE+G20*PV_WIN</f>
        <v>0</v>
      </c>
    </row>
    <row r="21" ht="15.75" customHeight="1">
      <c r="A21" s="7" t="s">
        <v>96</v>
      </c>
      <c r="B21" s="7" t="s">
        <v>97</v>
      </c>
      <c r="C21" s="7" t="s">
        <v>299</v>
      </c>
      <c r="D21" s="7" t="s">
        <v>281</v>
      </c>
      <c r="E21" s="19">
        <v>0.0</v>
      </c>
      <c r="F21" s="19">
        <v>0.0</v>
      </c>
      <c r="G21" s="19">
        <v>0.0</v>
      </c>
      <c r="H21" s="6">
        <f>E21*PV_SESSION+F21*PV_CHALLENGE+G21*PV_WIN</f>
        <v>0</v>
      </c>
    </row>
    <row r="22" ht="15.75" customHeight="1">
      <c r="A22" s="7" t="s">
        <v>96</v>
      </c>
      <c r="B22" s="7" t="s">
        <v>97</v>
      </c>
      <c r="C22" s="7" t="s">
        <v>300</v>
      </c>
      <c r="D22" s="7" t="s">
        <v>281</v>
      </c>
      <c r="E22" s="19">
        <v>0.0</v>
      </c>
      <c r="F22" s="19">
        <v>0.0</v>
      </c>
      <c r="G22" s="19">
        <v>0.0</v>
      </c>
      <c r="H22" s="6">
        <f>E22*PV_SESSION+F22*PV_CHALLENGE+G22*PV_WIN</f>
        <v>0</v>
      </c>
    </row>
    <row r="23" ht="15.75" customHeight="1">
      <c r="A23" s="7" t="s">
        <v>98</v>
      </c>
      <c r="B23" s="7" t="s">
        <v>99</v>
      </c>
      <c r="C23" s="7" t="s">
        <v>301</v>
      </c>
      <c r="D23" s="7" t="s">
        <v>279</v>
      </c>
      <c r="E23" s="19">
        <v>0.0</v>
      </c>
      <c r="F23" s="19">
        <v>0.0</v>
      </c>
      <c r="G23" s="19">
        <v>0.0</v>
      </c>
      <c r="H23" s="6">
        <f>E23*PV_SESSION+F23*PV_CHALLENGE+G23*PV_WIN</f>
        <v>0</v>
      </c>
    </row>
    <row r="24" ht="15.75" customHeight="1">
      <c r="A24" s="7" t="s">
        <v>98</v>
      </c>
      <c r="B24" s="7" t="s">
        <v>99</v>
      </c>
      <c r="C24" s="7" t="s">
        <v>302</v>
      </c>
      <c r="D24" s="7" t="s">
        <v>281</v>
      </c>
      <c r="E24" s="19">
        <v>0.0</v>
      </c>
      <c r="F24" s="19">
        <v>0.0</v>
      </c>
      <c r="G24" s="19">
        <v>0.0</v>
      </c>
      <c r="H24" s="6">
        <f>E24*PV_SESSION+F24*PV_CHALLENGE+G24*PV_WIN</f>
        <v>0</v>
      </c>
    </row>
    <row r="25" ht="15.75" customHeight="1">
      <c r="A25" s="7" t="s">
        <v>100</v>
      </c>
      <c r="B25" s="7" t="s">
        <v>101</v>
      </c>
      <c r="C25" s="7" t="s">
        <v>303</v>
      </c>
      <c r="D25" s="7" t="s">
        <v>279</v>
      </c>
      <c r="E25" s="19">
        <v>0.0</v>
      </c>
      <c r="F25" s="19">
        <v>0.0</v>
      </c>
      <c r="G25" s="19">
        <v>0.0</v>
      </c>
      <c r="H25" s="6">
        <f>E25*PV_SESSION+F25*PV_CHALLENGE+G25*PV_WIN</f>
        <v>0</v>
      </c>
    </row>
    <row r="26" ht="15.75" customHeight="1">
      <c r="A26" s="7" t="s">
        <v>100</v>
      </c>
      <c r="B26" s="7" t="s">
        <v>101</v>
      </c>
      <c r="C26" s="7" t="s">
        <v>304</v>
      </c>
      <c r="D26" s="7" t="s">
        <v>281</v>
      </c>
      <c r="E26" s="19">
        <v>0.0</v>
      </c>
      <c r="F26" s="19">
        <v>0.0</v>
      </c>
      <c r="G26" s="19">
        <v>0.0</v>
      </c>
      <c r="H26" s="6">
        <f>E26*PV_SESSION+F26*PV_CHALLENGE+G26*PV_WIN</f>
        <v>0</v>
      </c>
    </row>
    <row r="27" ht="15.75" customHeight="1">
      <c r="A27" s="7" t="s">
        <v>100</v>
      </c>
      <c r="B27" s="7" t="s">
        <v>101</v>
      </c>
      <c r="C27" s="7" t="s">
        <v>305</v>
      </c>
      <c r="D27" s="7" t="s">
        <v>281</v>
      </c>
      <c r="E27" s="19">
        <v>0.0</v>
      </c>
      <c r="F27" s="19">
        <v>0.0</v>
      </c>
      <c r="G27" s="19">
        <v>0.0</v>
      </c>
      <c r="H27" s="6">
        <f>E27*PV_SESSION+F27*PV_CHALLENGE+G27*PV_WIN</f>
        <v>0</v>
      </c>
    </row>
    <row r="28" ht="15.75" customHeight="1">
      <c r="A28" s="7" t="s">
        <v>100</v>
      </c>
      <c r="B28" s="7" t="s">
        <v>101</v>
      </c>
      <c r="C28" s="7" t="s">
        <v>306</v>
      </c>
      <c r="D28" s="7" t="s">
        <v>281</v>
      </c>
      <c r="E28" s="19">
        <v>0.0</v>
      </c>
      <c r="F28" s="19">
        <v>0.0</v>
      </c>
      <c r="G28" s="19">
        <v>0.0</v>
      </c>
      <c r="H28" s="6">
        <f>E28*PV_SESSION+F28*PV_CHALLENGE+G28*PV_WIN</f>
        <v>0</v>
      </c>
    </row>
    <row r="29" ht="15.75" customHeight="1">
      <c r="A29" s="7" t="s">
        <v>102</v>
      </c>
      <c r="B29" s="7" t="s">
        <v>103</v>
      </c>
      <c r="C29" s="7" t="s">
        <v>307</v>
      </c>
      <c r="D29" s="7" t="s">
        <v>279</v>
      </c>
      <c r="E29" s="18">
        <v>4.0</v>
      </c>
      <c r="F29" s="18">
        <v>1.0</v>
      </c>
      <c r="G29" s="19">
        <v>0.0</v>
      </c>
      <c r="H29" s="6">
        <f>E29*PV_SESSION+F29*PV_CHALLENGE+G29*PV_WIN</f>
        <v>40</v>
      </c>
    </row>
    <row r="30" ht="15.75" customHeight="1">
      <c r="A30" s="7" t="s">
        <v>102</v>
      </c>
      <c r="B30" s="7" t="s">
        <v>103</v>
      </c>
      <c r="C30" s="7" t="s">
        <v>308</v>
      </c>
      <c r="D30" s="7" t="s">
        <v>281</v>
      </c>
      <c r="E30" s="18">
        <v>4.0</v>
      </c>
      <c r="F30" s="18">
        <v>1.0</v>
      </c>
      <c r="G30" s="19">
        <v>0.0</v>
      </c>
      <c r="H30" s="6">
        <f>E30*PV_SESSION+F30*PV_CHALLENGE+G30*PV_WIN</f>
        <v>40</v>
      </c>
    </row>
    <row r="31" ht="15.75" customHeight="1">
      <c r="A31" s="7" t="s">
        <v>102</v>
      </c>
      <c r="B31" s="7" t="s">
        <v>103</v>
      </c>
      <c r="C31" s="7" t="s">
        <v>309</v>
      </c>
      <c r="D31" s="7" t="s">
        <v>281</v>
      </c>
      <c r="E31" s="18">
        <v>2.0</v>
      </c>
      <c r="F31" s="18">
        <v>1.0</v>
      </c>
      <c r="G31" s="19">
        <v>0.0</v>
      </c>
      <c r="H31" s="6">
        <f>E31*PV_SESSION+F31*PV_CHALLENGE+G31*PV_WIN</f>
        <v>30</v>
      </c>
    </row>
    <row r="32" ht="15.75" customHeight="1">
      <c r="A32" s="7" t="s">
        <v>102</v>
      </c>
      <c r="B32" s="7" t="s">
        <v>103</v>
      </c>
      <c r="C32" s="7" t="s">
        <v>310</v>
      </c>
      <c r="D32" s="7" t="s">
        <v>281</v>
      </c>
      <c r="E32" s="18">
        <v>4.0</v>
      </c>
      <c r="F32" s="18">
        <v>1.0</v>
      </c>
      <c r="G32" s="18">
        <v>1.0</v>
      </c>
      <c r="H32" s="6">
        <f>E32*PV_SESSION+F32*PV_CHALLENGE+G32*PV_WIN</f>
        <v>70</v>
      </c>
    </row>
    <row r="33" ht="15.75" customHeight="1">
      <c r="A33" s="7" t="s">
        <v>104</v>
      </c>
      <c r="B33" s="7" t="s">
        <v>105</v>
      </c>
      <c r="C33" s="7" t="s">
        <v>311</v>
      </c>
      <c r="D33" s="7" t="s">
        <v>279</v>
      </c>
      <c r="E33" s="19">
        <v>0.0</v>
      </c>
      <c r="F33" s="19">
        <v>0.0</v>
      </c>
      <c r="G33" s="19">
        <v>0.0</v>
      </c>
      <c r="H33" s="6">
        <f>E33*PV_SESSION+F33*PV_CHALLENGE+G33*PV_WIN</f>
        <v>0</v>
      </c>
    </row>
    <row r="34" ht="15.75" customHeight="1">
      <c r="A34" s="7" t="s">
        <v>104</v>
      </c>
      <c r="B34" s="7" t="s">
        <v>105</v>
      </c>
      <c r="C34" s="7" t="s">
        <v>312</v>
      </c>
      <c r="D34" s="7" t="s">
        <v>281</v>
      </c>
      <c r="E34" s="19">
        <v>0.0</v>
      </c>
      <c r="F34" s="19">
        <v>0.0</v>
      </c>
      <c r="G34" s="19">
        <v>0.0</v>
      </c>
      <c r="H34" s="6">
        <f>E34*PV_SESSION+F34*PV_CHALLENGE+G34*PV_WIN</f>
        <v>0</v>
      </c>
    </row>
    <row r="35" ht="15.75" customHeight="1">
      <c r="A35" s="7" t="s">
        <v>106</v>
      </c>
      <c r="B35" s="7" t="s">
        <v>107</v>
      </c>
      <c r="C35" s="7" t="s">
        <v>313</v>
      </c>
      <c r="D35" s="7" t="s">
        <v>279</v>
      </c>
      <c r="E35" s="19">
        <v>0.0</v>
      </c>
      <c r="F35" s="19">
        <v>0.0</v>
      </c>
      <c r="G35" s="19">
        <v>0.0</v>
      </c>
      <c r="H35" s="6">
        <f>E35*PV_SESSION+F35*PV_CHALLENGE+G35*PV_WIN</f>
        <v>0</v>
      </c>
    </row>
    <row r="36" ht="15.75" customHeight="1">
      <c r="A36" s="7" t="s">
        <v>106</v>
      </c>
      <c r="B36" s="7" t="s">
        <v>107</v>
      </c>
      <c r="C36" s="7" t="s">
        <v>314</v>
      </c>
      <c r="D36" s="7" t="s">
        <v>281</v>
      </c>
      <c r="E36" s="19">
        <v>0.0</v>
      </c>
      <c r="F36" s="19">
        <v>0.0</v>
      </c>
      <c r="G36" s="19">
        <v>0.0</v>
      </c>
      <c r="H36" s="6">
        <f>E36*PV_SESSION+F36*PV_CHALLENGE+G36*PV_WIN</f>
        <v>0</v>
      </c>
    </row>
    <row r="37" ht="15.75" customHeight="1">
      <c r="A37" s="7" t="s">
        <v>106</v>
      </c>
      <c r="B37" s="7" t="s">
        <v>107</v>
      </c>
      <c r="C37" s="7" t="s">
        <v>315</v>
      </c>
      <c r="D37" s="7" t="s">
        <v>281</v>
      </c>
      <c r="E37" s="18">
        <v>1.0</v>
      </c>
      <c r="F37" s="19">
        <v>0.0</v>
      </c>
      <c r="G37" s="19">
        <v>0.0</v>
      </c>
      <c r="H37" s="6">
        <f>E37*PV_SESSION+F37*PV_CHALLENGE+G37*PV_WIN</f>
        <v>5</v>
      </c>
    </row>
    <row r="38" ht="15.75" customHeight="1">
      <c r="A38" s="7" t="s">
        <v>108</v>
      </c>
      <c r="B38" s="7" t="s">
        <v>109</v>
      </c>
      <c r="C38" s="7" t="s">
        <v>316</v>
      </c>
      <c r="D38" s="7" t="s">
        <v>279</v>
      </c>
      <c r="E38" s="19">
        <v>0.0</v>
      </c>
      <c r="F38" s="19">
        <v>0.0</v>
      </c>
      <c r="G38" s="19">
        <v>0.0</v>
      </c>
      <c r="H38" s="6">
        <f>E38*PV_SESSION+F38*PV_CHALLENGE+G38*PV_WIN</f>
        <v>0</v>
      </c>
    </row>
    <row r="39" ht="15.75" customHeight="1">
      <c r="A39" s="7" t="s">
        <v>108</v>
      </c>
      <c r="B39" s="7" t="s">
        <v>109</v>
      </c>
      <c r="C39" s="7" t="s">
        <v>317</v>
      </c>
      <c r="D39" s="7" t="s">
        <v>281</v>
      </c>
      <c r="E39" s="19">
        <v>0.0</v>
      </c>
      <c r="F39" s="19">
        <v>0.0</v>
      </c>
      <c r="G39" s="19">
        <v>0.0</v>
      </c>
      <c r="H39" s="6">
        <f>E39*PV_SESSION+F39*PV_CHALLENGE+G39*PV_WIN</f>
        <v>0</v>
      </c>
    </row>
    <row r="40" ht="15.75" customHeight="1">
      <c r="A40" s="7" t="s">
        <v>110</v>
      </c>
      <c r="B40" s="7" t="s">
        <v>111</v>
      </c>
      <c r="C40" s="7" t="s">
        <v>318</v>
      </c>
      <c r="D40" s="7" t="s">
        <v>279</v>
      </c>
      <c r="E40" s="19">
        <v>0.0</v>
      </c>
      <c r="F40" s="18">
        <v>1.0</v>
      </c>
      <c r="G40" s="19">
        <v>0.0</v>
      </c>
      <c r="H40" s="6">
        <f>E40*PV_SESSION+F40*PV_CHALLENGE+G40*PV_WIN</f>
        <v>20</v>
      </c>
    </row>
    <row r="41" ht="15.75" customHeight="1">
      <c r="A41" s="7" t="s">
        <v>110</v>
      </c>
      <c r="B41" s="7" t="s">
        <v>111</v>
      </c>
      <c r="C41" s="7" t="s">
        <v>319</v>
      </c>
      <c r="D41" s="7" t="s">
        <v>281</v>
      </c>
      <c r="E41" s="19">
        <v>0.0</v>
      </c>
      <c r="F41" s="18">
        <v>1.0</v>
      </c>
      <c r="G41" s="19">
        <v>0.0</v>
      </c>
      <c r="H41" s="6">
        <f>E41*PV_SESSION+F41*PV_CHALLENGE+G41*PV_WIN</f>
        <v>20</v>
      </c>
    </row>
    <row r="42" ht="15.75" customHeight="1">
      <c r="A42" s="7" t="s">
        <v>110</v>
      </c>
      <c r="B42" s="7" t="s">
        <v>111</v>
      </c>
      <c r="C42" s="7" t="s">
        <v>320</v>
      </c>
      <c r="D42" s="7" t="s">
        <v>281</v>
      </c>
      <c r="E42" s="19">
        <v>0.0</v>
      </c>
      <c r="F42" s="18">
        <v>1.0</v>
      </c>
      <c r="G42" s="19">
        <v>0.0</v>
      </c>
      <c r="H42" s="6">
        <f>E42*PV_SESSION+F42*PV_CHALLENGE+G42*PV_WIN</f>
        <v>20</v>
      </c>
    </row>
    <row r="43" ht="15.75" customHeight="1">
      <c r="A43" s="7" t="s">
        <v>112</v>
      </c>
      <c r="B43" s="7" t="s">
        <v>113</v>
      </c>
      <c r="C43" s="7" t="s">
        <v>321</v>
      </c>
      <c r="D43" s="7" t="s">
        <v>279</v>
      </c>
      <c r="E43" s="19">
        <v>0.0</v>
      </c>
      <c r="F43" s="19">
        <v>0.0</v>
      </c>
      <c r="G43" s="19">
        <v>0.0</v>
      </c>
      <c r="H43" s="6">
        <f>E43*PV_SESSION+F43*PV_CHALLENGE+G43*PV_WIN</f>
        <v>0</v>
      </c>
    </row>
    <row r="44" ht="15.75" customHeight="1">
      <c r="A44" s="7" t="s">
        <v>112</v>
      </c>
      <c r="B44" s="7" t="s">
        <v>113</v>
      </c>
      <c r="C44" s="7" t="s">
        <v>322</v>
      </c>
      <c r="D44" s="7" t="s">
        <v>281</v>
      </c>
      <c r="E44" s="19">
        <v>0.0</v>
      </c>
      <c r="F44" s="19">
        <v>0.0</v>
      </c>
      <c r="G44" s="19">
        <v>0.0</v>
      </c>
      <c r="H44" s="6">
        <f>E44*PV_SESSION+F44*PV_CHALLENGE+G44*PV_WIN</f>
        <v>0</v>
      </c>
    </row>
    <row r="45" ht="15.75" customHeight="1">
      <c r="A45" s="7" t="s">
        <v>112</v>
      </c>
      <c r="B45" s="7" t="s">
        <v>113</v>
      </c>
      <c r="C45" s="7" t="s">
        <v>323</v>
      </c>
      <c r="D45" s="7" t="s">
        <v>281</v>
      </c>
      <c r="E45" s="19">
        <v>0.0</v>
      </c>
      <c r="F45" s="19">
        <v>0.0</v>
      </c>
      <c r="G45" s="19">
        <v>0.0</v>
      </c>
      <c r="H45" s="6">
        <f>E45*PV_SESSION+F45*PV_CHALLENGE+G45*PV_WIN</f>
        <v>0</v>
      </c>
    </row>
    <row r="46" ht="15.75" customHeight="1">
      <c r="A46" s="7" t="s">
        <v>114</v>
      </c>
      <c r="B46" s="7" t="s">
        <v>115</v>
      </c>
      <c r="C46" s="7" t="s">
        <v>324</v>
      </c>
      <c r="D46" s="7" t="s">
        <v>279</v>
      </c>
      <c r="E46" s="19">
        <v>0.0</v>
      </c>
      <c r="F46" s="19">
        <v>0.0</v>
      </c>
      <c r="G46" s="19">
        <v>0.0</v>
      </c>
      <c r="H46" s="6">
        <f>E46*PV_SESSION+F46*PV_CHALLENGE+G46*PV_WIN</f>
        <v>0</v>
      </c>
    </row>
    <row r="47" ht="15.75" customHeight="1">
      <c r="A47" s="7" t="s">
        <v>114</v>
      </c>
      <c r="B47" s="7" t="s">
        <v>115</v>
      </c>
      <c r="C47" s="7" t="s">
        <v>325</v>
      </c>
      <c r="D47" s="7" t="s">
        <v>281</v>
      </c>
      <c r="E47" s="19">
        <v>0.0</v>
      </c>
      <c r="F47" s="19">
        <v>0.0</v>
      </c>
      <c r="G47" s="19">
        <v>0.0</v>
      </c>
      <c r="H47" s="6">
        <f>E47*PV_SESSION+F47*PV_CHALLENGE+G47*PV_WIN</f>
        <v>0</v>
      </c>
    </row>
    <row r="48" ht="15.75" customHeight="1">
      <c r="A48" s="7" t="s">
        <v>114</v>
      </c>
      <c r="B48" s="7" t="s">
        <v>115</v>
      </c>
      <c r="C48" s="7" t="s">
        <v>326</v>
      </c>
      <c r="D48" s="7" t="s">
        <v>281</v>
      </c>
      <c r="E48" s="19">
        <v>0.0</v>
      </c>
      <c r="F48" s="19">
        <v>0.0</v>
      </c>
      <c r="G48" s="19">
        <v>0.0</v>
      </c>
      <c r="H48" s="6">
        <f>E48*PV_SESSION+F48*PV_CHALLENGE+G48*PV_WIN</f>
        <v>0</v>
      </c>
    </row>
    <row r="49" ht="15.75" customHeight="1">
      <c r="A49" s="7" t="s">
        <v>116</v>
      </c>
      <c r="B49" s="7" t="s">
        <v>117</v>
      </c>
      <c r="C49" s="7" t="s">
        <v>327</v>
      </c>
      <c r="D49" s="7" t="s">
        <v>279</v>
      </c>
      <c r="E49" s="19">
        <v>0.0</v>
      </c>
      <c r="F49" s="19">
        <v>0.0</v>
      </c>
      <c r="G49" s="19">
        <v>0.0</v>
      </c>
      <c r="H49" s="6">
        <f>E49*PV_SESSION+F49*PV_CHALLENGE+G49*PV_WIN</f>
        <v>0</v>
      </c>
    </row>
    <row r="50" ht="15.75" customHeight="1">
      <c r="A50" s="7" t="s">
        <v>116</v>
      </c>
      <c r="B50" s="7" t="s">
        <v>117</v>
      </c>
      <c r="C50" s="7" t="s">
        <v>328</v>
      </c>
      <c r="D50" s="7" t="s">
        <v>281</v>
      </c>
      <c r="E50" s="19">
        <v>0.0</v>
      </c>
      <c r="F50" s="19">
        <v>0.0</v>
      </c>
      <c r="G50" s="19">
        <v>0.0</v>
      </c>
      <c r="H50" s="6">
        <f>E50*PV_SESSION+F50*PV_CHALLENGE+G50*PV_WIN</f>
        <v>0</v>
      </c>
    </row>
    <row r="51" ht="15.75" customHeight="1">
      <c r="A51" s="7" t="s">
        <v>118</v>
      </c>
      <c r="B51" s="7" t="s">
        <v>119</v>
      </c>
      <c r="C51" s="7" t="s">
        <v>329</v>
      </c>
      <c r="D51" s="7" t="s">
        <v>279</v>
      </c>
      <c r="E51" s="18">
        <v>3.0</v>
      </c>
      <c r="F51" s="18">
        <v>1.0</v>
      </c>
      <c r="G51" s="18">
        <v>1.0</v>
      </c>
      <c r="H51" s="6">
        <f>E51*PV_SESSION+F51*PV_CHALLENGE+G51*PV_WIN</f>
        <v>65</v>
      </c>
    </row>
    <row r="52" ht="15.75" customHeight="1">
      <c r="A52" s="7" t="s">
        <v>118</v>
      </c>
      <c r="B52" s="7" t="s">
        <v>119</v>
      </c>
      <c r="C52" s="7" t="s">
        <v>330</v>
      </c>
      <c r="D52" s="7" t="s">
        <v>281</v>
      </c>
      <c r="E52" s="18">
        <v>2.0</v>
      </c>
      <c r="F52" s="19">
        <v>0.0</v>
      </c>
      <c r="G52" s="19">
        <v>0.0</v>
      </c>
      <c r="H52" s="6">
        <f>E52*PV_SESSION+F52*PV_CHALLENGE+G52*PV_WIN</f>
        <v>10</v>
      </c>
    </row>
    <row r="53" ht="15.75" customHeight="1">
      <c r="A53" s="7" t="s">
        <v>120</v>
      </c>
      <c r="B53" s="7" t="s">
        <v>121</v>
      </c>
      <c r="C53" s="7" t="s">
        <v>331</v>
      </c>
      <c r="D53" s="7" t="s">
        <v>279</v>
      </c>
      <c r="E53" s="19">
        <v>0.0</v>
      </c>
      <c r="F53" s="19">
        <v>0.0</v>
      </c>
      <c r="G53" s="19">
        <v>0.0</v>
      </c>
      <c r="H53" s="6">
        <f>E53*PV_SESSION+F53*PV_CHALLENGE+G53*PV_WIN</f>
        <v>0</v>
      </c>
    </row>
    <row r="54" ht="15.75" customHeight="1">
      <c r="A54" s="7" t="s">
        <v>120</v>
      </c>
      <c r="B54" s="7" t="s">
        <v>121</v>
      </c>
      <c r="C54" s="7" t="s">
        <v>332</v>
      </c>
      <c r="D54" s="7" t="s">
        <v>281</v>
      </c>
      <c r="E54" s="19">
        <v>0.0</v>
      </c>
      <c r="F54" s="19">
        <v>0.0</v>
      </c>
      <c r="G54" s="19">
        <v>0.0</v>
      </c>
      <c r="H54" s="6">
        <f>E54*PV_SESSION+F54*PV_CHALLENGE+G54*PV_WIN</f>
        <v>0</v>
      </c>
    </row>
    <row r="55" ht="15.75" customHeight="1">
      <c r="A55" s="7" t="s">
        <v>120</v>
      </c>
      <c r="B55" s="7" t="s">
        <v>121</v>
      </c>
      <c r="C55" s="7" t="s">
        <v>333</v>
      </c>
      <c r="D55" s="7" t="s">
        <v>281</v>
      </c>
      <c r="E55" s="19">
        <v>0.0</v>
      </c>
      <c r="F55" s="19">
        <v>0.0</v>
      </c>
      <c r="G55" s="19">
        <v>0.0</v>
      </c>
      <c r="H55" s="6">
        <f>E55*PV_SESSION+F55*PV_CHALLENGE+G55*PV_WIN</f>
        <v>0</v>
      </c>
    </row>
    <row r="56" ht="15.75" customHeight="1">
      <c r="A56" s="7" t="s">
        <v>122</v>
      </c>
      <c r="B56" s="7" t="s">
        <v>123</v>
      </c>
      <c r="C56" s="7" t="s">
        <v>334</v>
      </c>
      <c r="D56" s="7" t="s">
        <v>279</v>
      </c>
      <c r="E56" s="19">
        <v>0.0</v>
      </c>
      <c r="F56" s="19">
        <v>0.0</v>
      </c>
      <c r="G56" s="19">
        <v>0.0</v>
      </c>
      <c r="H56" s="6">
        <f>E56*PV_SESSION+F56*PV_CHALLENGE+G56*PV_WIN</f>
        <v>0</v>
      </c>
    </row>
    <row r="57" ht="15.75" customHeight="1">
      <c r="A57" s="7" t="s">
        <v>124</v>
      </c>
      <c r="B57" s="7" t="s">
        <v>125</v>
      </c>
      <c r="C57" s="7" t="s">
        <v>335</v>
      </c>
      <c r="D57" s="7" t="s">
        <v>279</v>
      </c>
      <c r="E57" s="19">
        <v>0.0</v>
      </c>
      <c r="F57" s="19">
        <v>0.0</v>
      </c>
      <c r="G57" s="19">
        <v>0.0</v>
      </c>
      <c r="H57" s="6">
        <f>E57*PV_SESSION+F57*PV_CHALLENGE+G57*PV_WIN</f>
        <v>0</v>
      </c>
    </row>
    <row r="58" ht="15.75" customHeight="1">
      <c r="A58" s="7" t="s">
        <v>124</v>
      </c>
      <c r="B58" s="7" t="s">
        <v>125</v>
      </c>
      <c r="C58" s="7" t="s">
        <v>336</v>
      </c>
      <c r="D58" s="7" t="s">
        <v>281</v>
      </c>
      <c r="E58" s="19">
        <v>0.0</v>
      </c>
      <c r="F58" s="19">
        <v>0.0</v>
      </c>
      <c r="G58" s="19">
        <v>0.0</v>
      </c>
      <c r="H58" s="6">
        <f>E58*PV_SESSION+F58*PV_CHALLENGE+G58*PV_WIN</f>
        <v>0</v>
      </c>
    </row>
    <row r="59" ht="15.75" customHeight="1">
      <c r="A59" s="7" t="s">
        <v>126</v>
      </c>
      <c r="B59" s="7" t="s">
        <v>127</v>
      </c>
      <c r="C59" s="7" t="s">
        <v>337</v>
      </c>
      <c r="D59" s="7" t="s">
        <v>279</v>
      </c>
      <c r="E59" s="19">
        <v>0.0</v>
      </c>
      <c r="F59" s="19">
        <v>0.0</v>
      </c>
      <c r="G59" s="19">
        <v>0.0</v>
      </c>
      <c r="H59" s="6">
        <f>E59*PV_SESSION+F59*PV_CHALLENGE+G59*PV_WIN</f>
        <v>0</v>
      </c>
    </row>
    <row r="60" ht="15.75" customHeight="1">
      <c r="A60" s="7" t="s">
        <v>126</v>
      </c>
      <c r="B60" s="7" t="s">
        <v>127</v>
      </c>
      <c r="C60" s="7" t="s">
        <v>338</v>
      </c>
      <c r="D60" s="7" t="s">
        <v>281</v>
      </c>
      <c r="E60" s="19">
        <v>0.0</v>
      </c>
      <c r="F60" s="19">
        <v>0.0</v>
      </c>
      <c r="G60" s="19">
        <v>0.0</v>
      </c>
      <c r="H60" s="6">
        <f>E60*PV_SESSION+F60*PV_CHALLENGE+G60*PV_WIN</f>
        <v>0</v>
      </c>
    </row>
    <row r="61" ht="15.75" customHeight="1">
      <c r="A61" s="7" t="s">
        <v>128</v>
      </c>
      <c r="B61" s="7" t="s">
        <v>129</v>
      </c>
      <c r="C61" s="7" t="s">
        <v>339</v>
      </c>
      <c r="D61" s="7" t="s">
        <v>279</v>
      </c>
      <c r="E61" s="19">
        <v>0.0</v>
      </c>
      <c r="F61" s="19">
        <v>0.0</v>
      </c>
      <c r="G61" s="19">
        <v>0.0</v>
      </c>
      <c r="H61" s="6">
        <f>E61*PV_SESSION+F61*PV_CHALLENGE+G61*PV_WIN</f>
        <v>0</v>
      </c>
    </row>
    <row r="62" ht="15.75" customHeight="1">
      <c r="A62" s="7" t="s">
        <v>130</v>
      </c>
      <c r="B62" s="7" t="s">
        <v>131</v>
      </c>
      <c r="C62" s="7" t="s">
        <v>340</v>
      </c>
      <c r="D62" s="7" t="s">
        <v>279</v>
      </c>
      <c r="E62" s="19">
        <v>0.0</v>
      </c>
      <c r="F62" s="19">
        <v>0.0</v>
      </c>
      <c r="G62" s="19">
        <v>0.0</v>
      </c>
      <c r="H62" s="6">
        <f>E62*PV_SESSION+F62*PV_CHALLENGE+G62*PV_WIN</f>
        <v>0</v>
      </c>
    </row>
    <row r="63" ht="15.75" customHeight="1">
      <c r="A63" s="7" t="s">
        <v>132</v>
      </c>
      <c r="B63" s="7" t="s">
        <v>133</v>
      </c>
      <c r="C63" s="7" t="s">
        <v>341</v>
      </c>
      <c r="D63" s="7" t="s">
        <v>279</v>
      </c>
      <c r="E63" s="19">
        <v>0.0</v>
      </c>
      <c r="F63" s="19">
        <v>0.0</v>
      </c>
      <c r="G63" s="19">
        <v>0.0</v>
      </c>
      <c r="H63" s="6">
        <f>E63*PV_SESSION+F63*PV_CHALLENGE+G63*PV_WIN</f>
        <v>0</v>
      </c>
    </row>
    <row r="64" ht="15.75" customHeight="1">
      <c r="A64" s="7" t="s">
        <v>134</v>
      </c>
      <c r="B64" s="7" t="s">
        <v>135</v>
      </c>
      <c r="C64" s="7" t="s">
        <v>342</v>
      </c>
      <c r="D64" s="7" t="s">
        <v>279</v>
      </c>
      <c r="E64" s="19">
        <v>0.0</v>
      </c>
      <c r="F64" s="19">
        <v>0.0</v>
      </c>
      <c r="G64" s="19">
        <v>0.0</v>
      </c>
      <c r="H64" s="6">
        <f>E64*PV_SESSION+F64*PV_CHALLENGE+G64*PV_WIN</f>
        <v>0</v>
      </c>
    </row>
    <row r="65" ht="15.75" customHeight="1">
      <c r="A65" s="7" t="s">
        <v>136</v>
      </c>
      <c r="B65" s="7" t="s">
        <v>137</v>
      </c>
      <c r="C65" s="7" t="s">
        <v>343</v>
      </c>
      <c r="D65" s="7" t="s">
        <v>279</v>
      </c>
      <c r="E65" s="19">
        <v>0.0</v>
      </c>
      <c r="F65" s="19">
        <v>0.0</v>
      </c>
      <c r="G65" s="19">
        <v>0.0</v>
      </c>
      <c r="H65" s="6">
        <f>E65*PV_SESSION+F65*PV_CHALLENGE+G65*PV_WIN</f>
        <v>0</v>
      </c>
    </row>
    <row r="66" ht="15.75" customHeight="1">
      <c r="A66" s="7" t="s">
        <v>138</v>
      </c>
      <c r="B66" s="7" t="s">
        <v>139</v>
      </c>
      <c r="C66" s="7" t="s">
        <v>344</v>
      </c>
      <c r="D66" s="7" t="s">
        <v>279</v>
      </c>
      <c r="E66" s="18">
        <v>4.0</v>
      </c>
      <c r="F66" s="18">
        <v>1.0</v>
      </c>
      <c r="G66" s="19">
        <v>0.0</v>
      </c>
      <c r="H66" s="6">
        <f>E66*PV_SESSION+F66*PV_CHALLENGE+G66*PV_WIN</f>
        <v>40</v>
      </c>
    </row>
    <row r="67" ht="15.75" customHeight="1">
      <c r="A67" s="7" t="s">
        <v>138</v>
      </c>
      <c r="B67" s="7" t="s">
        <v>139</v>
      </c>
      <c r="C67" s="7" t="s">
        <v>345</v>
      </c>
      <c r="D67" s="7" t="s">
        <v>281</v>
      </c>
      <c r="E67" s="18">
        <v>4.0</v>
      </c>
      <c r="F67" s="18">
        <v>1.0</v>
      </c>
      <c r="G67" s="19">
        <v>0.0</v>
      </c>
      <c r="H67" s="6">
        <f>E67*PV_SESSION+F67*PV_CHALLENGE+G67*PV_WIN</f>
        <v>40</v>
      </c>
    </row>
    <row r="68" ht="15.75" customHeight="1">
      <c r="A68" s="7" t="s">
        <v>140</v>
      </c>
      <c r="B68" s="7" t="s">
        <v>141</v>
      </c>
      <c r="C68" s="7" t="s">
        <v>346</v>
      </c>
      <c r="D68" s="7" t="s">
        <v>279</v>
      </c>
      <c r="E68" s="19">
        <v>0.0</v>
      </c>
      <c r="F68" s="19">
        <v>0.0</v>
      </c>
      <c r="G68" s="19">
        <v>0.0</v>
      </c>
      <c r="H68" s="6">
        <f>E68*PV_SESSION+F68*PV_CHALLENGE+G68*PV_WIN</f>
        <v>0</v>
      </c>
    </row>
    <row r="69" ht="15.75" customHeight="1">
      <c r="A69" s="7" t="s">
        <v>140</v>
      </c>
      <c r="B69" s="7" t="s">
        <v>141</v>
      </c>
      <c r="C69" s="7" t="s">
        <v>347</v>
      </c>
      <c r="D69" s="7" t="s">
        <v>281</v>
      </c>
      <c r="E69" s="19">
        <v>0.0</v>
      </c>
      <c r="F69" s="19">
        <v>0.0</v>
      </c>
      <c r="G69" s="19">
        <v>0.0</v>
      </c>
      <c r="H69" s="6">
        <f>E69*PV_SESSION+F69*PV_CHALLENGE+G69*PV_WIN</f>
        <v>0</v>
      </c>
    </row>
    <row r="70" ht="15.75" customHeight="1">
      <c r="A70" s="7" t="s">
        <v>142</v>
      </c>
      <c r="B70" s="7" t="s">
        <v>143</v>
      </c>
      <c r="C70" s="7" t="s">
        <v>348</v>
      </c>
      <c r="D70" s="7" t="s">
        <v>279</v>
      </c>
      <c r="E70" s="19">
        <v>0.0</v>
      </c>
      <c r="F70" s="19">
        <v>0.0</v>
      </c>
      <c r="G70" s="19">
        <v>0.0</v>
      </c>
      <c r="H70" s="6">
        <f>E70*PV_SESSION+F70*PV_CHALLENGE+G70*PV_WIN</f>
        <v>0</v>
      </c>
    </row>
    <row r="71" ht="15.75" customHeight="1">
      <c r="A71" s="7" t="s">
        <v>144</v>
      </c>
      <c r="B71" s="7" t="s">
        <v>145</v>
      </c>
      <c r="C71" s="7" t="s">
        <v>349</v>
      </c>
      <c r="D71" s="7" t="s">
        <v>279</v>
      </c>
      <c r="E71" s="19">
        <v>0.0</v>
      </c>
      <c r="F71" s="19">
        <v>0.0</v>
      </c>
      <c r="G71" s="19">
        <v>0.0</v>
      </c>
      <c r="H71" s="6">
        <f>E71*PV_SESSION+F71*PV_CHALLENGE+G71*PV_WIN</f>
        <v>0</v>
      </c>
    </row>
    <row r="72" ht="15.75" customHeight="1">
      <c r="A72" s="7" t="s">
        <v>146</v>
      </c>
      <c r="B72" s="7" t="s">
        <v>147</v>
      </c>
      <c r="C72" s="7" t="s">
        <v>350</v>
      </c>
      <c r="D72" s="7" t="s">
        <v>279</v>
      </c>
      <c r="E72" s="19">
        <v>0.0</v>
      </c>
      <c r="F72" s="19">
        <v>0.0</v>
      </c>
      <c r="G72" s="19">
        <v>0.0</v>
      </c>
      <c r="H72" s="6">
        <f>E72*PV_SESSION+F72*PV_CHALLENGE+G72*PV_WIN</f>
        <v>0</v>
      </c>
    </row>
    <row r="73" ht="15.75" customHeight="1">
      <c r="A73" s="7" t="s">
        <v>146</v>
      </c>
      <c r="B73" s="7" t="s">
        <v>147</v>
      </c>
      <c r="C73" s="7" t="s">
        <v>351</v>
      </c>
      <c r="D73" s="7" t="s">
        <v>281</v>
      </c>
      <c r="E73" s="19">
        <v>0.0</v>
      </c>
      <c r="F73" s="19">
        <v>0.0</v>
      </c>
      <c r="G73" s="19">
        <v>0.0</v>
      </c>
      <c r="H73" s="6">
        <f>E73*PV_SESSION+F73*PV_CHALLENGE+G73*PV_WIN</f>
        <v>0</v>
      </c>
    </row>
    <row r="74" ht="15.75" customHeight="1">
      <c r="A74" s="7" t="s">
        <v>148</v>
      </c>
      <c r="B74" s="7" t="s">
        <v>149</v>
      </c>
      <c r="C74" s="7" t="s">
        <v>352</v>
      </c>
      <c r="D74" s="7" t="s">
        <v>279</v>
      </c>
      <c r="E74" s="19">
        <v>0.0</v>
      </c>
      <c r="F74" s="19">
        <v>0.0</v>
      </c>
      <c r="G74" s="19">
        <v>0.0</v>
      </c>
      <c r="H74" s="6">
        <f>E74*PV_SESSION+F74*PV_CHALLENGE+G74*PV_WIN</f>
        <v>0</v>
      </c>
    </row>
    <row r="75" ht="15.75" customHeight="1">
      <c r="A75" s="7" t="s">
        <v>148</v>
      </c>
      <c r="B75" s="7" t="s">
        <v>149</v>
      </c>
      <c r="C75" s="7" t="s">
        <v>353</v>
      </c>
      <c r="D75" s="7" t="s">
        <v>281</v>
      </c>
      <c r="E75" s="19">
        <v>0.0</v>
      </c>
      <c r="F75" s="18">
        <v>1.0</v>
      </c>
      <c r="G75" s="19">
        <v>0.0</v>
      </c>
      <c r="H75" s="6">
        <f>E75*PV_SESSION+F75*PV_CHALLENGE+G75*PV_WIN</f>
        <v>20</v>
      </c>
    </row>
    <row r="76" ht="15.75" customHeight="1">
      <c r="A76" s="7" t="s">
        <v>150</v>
      </c>
      <c r="B76" s="7" t="s">
        <v>151</v>
      </c>
      <c r="C76" s="7" t="s">
        <v>354</v>
      </c>
      <c r="D76" s="7" t="s">
        <v>279</v>
      </c>
      <c r="E76" s="19">
        <v>0.0</v>
      </c>
      <c r="F76" s="19">
        <v>0.0</v>
      </c>
      <c r="G76" s="19">
        <v>0.0</v>
      </c>
      <c r="H76" s="6">
        <f>E76*PV_SESSION+F76*PV_CHALLENGE+G76*PV_WIN</f>
        <v>0</v>
      </c>
    </row>
    <row r="77" ht="15.75" customHeight="1">
      <c r="A77" s="7" t="s">
        <v>150</v>
      </c>
      <c r="B77" s="7" t="s">
        <v>151</v>
      </c>
      <c r="C77" s="7" t="s">
        <v>355</v>
      </c>
      <c r="D77" s="7" t="s">
        <v>281</v>
      </c>
      <c r="E77" s="19">
        <v>0.0</v>
      </c>
      <c r="F77" s="19">
        <v>0.0</v>
      </c>
      <c r="G77" s="19">
        <v>0.0</v>
      </c>
      <c r="H77" s="6">
        <f>E77*PV_SESSION+F77*PV_CHALLENGE+G77*PV_WIN</f>
        <v>0</v>
      </c>
    </row>
    <row r="78" ht="15.75" customHeight="1">
      <c r="A78" s="7" t="s">
        <v>150</v>
      </c>
      <c r="B78" s="7" t="s">
        <v>151</v>
      </c>
      <c r="C78" s="7" t="s">
        <v>356</v>
      </c>
      <c r="D78" s="7" t="s">
        <v>281</v>
      </c>
      <c r="E78" s="19">
        <v>0.0</v>
      </c>
      <c r="F78" s="19">
        <v>0.0</v>
      </c>
      <c r="G78" s="19">
        <v>0.0</v>
      </c>
      <c r="H78" s="6">
        <f>E78*PV_SESSION+F78*PV_CHALLENGE+G78*PV_WIN</f>
        <v>0</v>
      </c>
    </row>
    <row r="79" ht="15.75" customHeight="1">
      <c r="A79" s="7" t="s">
        <v>152</v>
      </c>
      <c r="B79" s="7" t="s">
        <v>153</v>
      </c>
      <c r="C79" s="7" t="s">
        <v>357</v>
      </c>
      <c r="D79" s="7" t="s">
        <v>279</v>
      </c>
      <c r="E79" s="19">
        <v>0.0</v>
      </c>
      <c r="F79" s="19">
        <v>0.0</v>
      </c>
      <c r="G79" s="19">
        <v>0.0</v>
      </c>
      <c r="H79" s="6">
        <f>E79*PV_SESSION+F79*PV_CHALLENGE+G79*PV_WIN</f>
        <v>0</v>
      </c>
    </row>
    <row r="80" ht="15.75" customHeight="1">
      <c r="A80" s="7" t="s">
        <v>154</v>
      </c>
      <c r="B80" s="7" t="s">
        <v>155</v>
      </c>
      <c r="C80" s="7" t="s">
        <v>358</v>
      </c>
      <c r="D80" s="7" t="s">
        <v>279</v>
      </c>
      <c r="E80" s="19">
        <v>0.0</v>
      </c>
      <c r="F80" s="19">
        <v>0.0</v>
      </c>
      <c r="G80" s="19">
        <v>0.0</v>
      </c>
      <c r="H80" s="6">
        <f>E80*PV_SESSION+F80*PV_CHALLENGE+G80*PV_WIN</f>
        <v>0</v>
      </c>
    </row>
    <row r="81" ht="15.75" customHeight="1">
      <c r="A81" s="7" t="s">
        <v>154</v>
      </c>
      <c r="B81" s="7" t="s">
        <v>155</v>
      </c>
      <c r="C81" s="7" t="s">
        <v>359</v>
      </c>
      <c r="D81" s="7" t="s">
        <v>281</v>
      </c>
      <c r="E81" s="19">
        <v>0.0</v>
      </c>
      <c r="F81" s="19">
        <v>0.0</v>
      </c>
      <c r="G81" s="19">
        <v>0.0</v>
      </c>
      <c r="H81" s="6">
        <f>E81*PV_SESSION+F81*PV_CHALLENGE+G81*PV_WIN</f>
        <v>0</v>
      </c>
    </row>
    <row r="82" ht="15.75" customHeight="1">
      <c r="A82" s="7" t="s">
        <v>154</v>
      </c>
      <c r="B82" s="7" t="s">
        <v>155</v>
      </c>
      <c r="C82" s="7" t="s">
        <v>360</v>
      </c>
      <c r="D82" s="7" t="s">
        <v>281</v>
      </c>
      <c r="E82" s="19">
        <v>0.0</v>
      </c>
      <c r="F82" s="19">
        <v>0.0</v>
      </c>
      <c r="G82" s="19">
        <v>0.0</v>
      </c>
      <c r="H82" s="6">
        <f>E82*PV_SESSION+F82*PV_CHALLENGE+G82*PV_WIN</f>
        <v>0</v>
      </c>
    </row>
    <row r="83" ht="15.75" customHeight="1">
      <c r="A83" s="7" t="s">
        <v>156</v>
      </c>
      <c r="B83" s="7" t="s">
        <v>157</v>
      </c>
      <c r="C83" s="7" t="s">
        <v>361</v>
      </c>
      <c r="D83" s="7" t="s">
        <v>279</v>
      </c>
      <c r="E83" s="18">
        <v>3.0</v>
      </c>
      <c r="F83" s="18">
        <v>1.0</v>
      </c>
      <c r="G83" s="19">
        <v>0.0</v>
      </c>
      <c r="H83" s="6">
        <f>E83*PV_SESSION+F83*PV_CHALLENGE+G83*PV_WIN</f>
        <v>35</v>
      </c>
    </row>
    <row r="84" ht="15.75" customHeight="1">
      <c r="A84" s="7" t="s">
        <v>156</v>
      </c>
      <c r="B84" s="7" t="s">
        <v>157</v>
      </c>
      <c r="C84" s="7" t="s">
        <v>362</v>
      </c>
      <c r="D84" s="7" t="s">
        <v>281</v>
      </c>
      <c r="E84" s="18">
        <v>4.0</v>
      </c>
      <c r="F84" s="18">
        <v>1.0</v>
      </c>
      <c r="G84" s="19">
        <v>0.0</v>
      </c>
      <c r="H84" s="6">
        <f>E84*PV_SESSION+F84*PV_CHALLENGE+G84*PV_WIN</f>
        <v>40</v>
      </c>
    </row>
    <row r="85" ht="15.75" customHeight="1">
      <c r="A85" s="7" t="s">
        <v>158</v>
      </c>
      <c r="B85" s="7" t="s">
        <v>159</v>
      </c>
      <c r="C85" s="7" t="s">
        <v>363</v>
      </c>
      <c r="D85" s="7" t="s">
        <v>279</v>
      </c>
      <c r="E85" s="19">
        <v>0.0</v>
      </c>
      <c r="F85" s="19">
        <v>0.0</v>
      </c>
      <c r="G85" s="19">
        <v>0.0</v>
      </c>
      <c r="H85" s="6">
        <f>E85*PV_SESSION+F85*PV_CHALLENGE+G85*PV_WIN</f>
        <v>0</v>
      </c>
    </row>
    <row r="86" ht="15.75" customHeight="1">
      <c r="A86" s="7" t="s">
        <v>158</v>
      </c>
      <c r="B86" s="7" t="s">
        <v>159</v>
      </c>
      <c r="C86" s="7" t="s">
        <v>364</v>
      </c>
      <c r="D86" s="7" t="s">
        <v>281</v>
      </c>
      <c r="E86" s="19">
        <v>0.0</v>
      </c>
      <c r="F86" s="19">
        <v>0.0</v>
      </c>
      <c r="G86" s="19">
        <v>0.0</v>
      </c>
      <c r="H86" s="6">
        <f>E86*PV_SESSION+F86*PV_CHALLENGE+G86*PV_WIN</f>
        <v>0</v>
      </c>
    </row>
    <row r="87" ht="15.75" customHeight="1">
      <c r="A87" s="7" t="s">
        <v>160</v>
      </c>
      <c r="B87" s="7" t="s">
        <v>161</v>
      </c>
      <c r="C87" s="7" t="s">
        <v>365</v>
      </c>
      <c r="D87" s="7" t="s">
        <v>279</v>
      </c>
      <c r="E87" s="19">
        <v>0.0</v>
      </c>
      <c r="F87" s="19">
        <v>0.0</v>
      </c>
      <c r="G87" s="19">
        <v>0.0</v>
      </c>
      <c r="H87" s="6">
        <f>E87*PV_SESSION+F87*PV_CHALLENGE+G87*PV_WIN</f>
        <v>0</v>
      </c>
    </row>
    <row r="88" ht="15.75" customHeight="1">
      <c r="A88" s="7" t="s">
        <v>160</v>
      </c>
      <c r="B88" s="7" t="s">
        <v>161</v>
      </c>
      <c r="C88" s="7" t="s">
        <v>366</v>
      </c>
      <c r="D88" s="7" t="s">
        <v>281</v>
      </c>
      <c r="E88" s="19">
        <v>0.0</v>
      </c>
      <c r="F88" s="19">
        <v>0.0</v>
      </c>
      <c r="G88" s="19">
        <v>0.0</v>
      </c>
      <c r="H88" s="6">
        <f>E88*PV_SESSION+F88*PV_CHALLENGE+G88*PV_WIN</f>
        <v>0</v>
      </c>
    </row>
    <row r="89" ht="15.75" customHeight="1">
      <c r="A89" s="7" t="s">
        <v>162</v>
      </c>
      <c r="B89" s="7" t="s">
        <v>163</v>
      </c>
      <c r="C89" s="7" t="s">
        <v>367</v>
      </c>
      <c r="D89" s="7" t="s">
        <v>279</v>
      </c>
      <c r="E89" s="19">
        <v>0.0</v>
      </c>
      <c r="F89" s="19">
        <v>0.0</v>
      </c>
      <c r="G89" s="19">
        <v>0.0</v>
      </c>
      <c r="H89" s="6">
        <f>E89*PV_SESSION+F89*PV_CHALLENGE+G89*PV_WIN</f>
        <v>0</v>
      </c>
    </row>
    <row r="90" ht="15.75" customHeight="1">
      <c r="A90" s="7" t="s">
        <v>164</v>
      </c>
      <c r="B90" s="7" t="s">
        <v>165</v>
      </c>
      <c r="C90" s="7" t="s">
        <v>368</v>
      </c>
      <c r="D90" s="7" t="s">
        <v>279</v>
      </c>
      <c r="E90" s="18">
        <v>4.0</v>
      </c>
      <c r="F90" s="18">
        <v>1.0</v>
      </c>
      <c r="G90" s="19">
        <v>0.0</v>
      </c>
      <c r="H90" s="6">
        <f>E90*PV_SESSION+F90*PV_CHALLENGE+G90*PV_WIN</f>
        <v>40</v>
      </c>
    </row>
    <row r="91" ht="15.75" customHeight="1">
      <c r="A91" s="7" t="s">
        <v>164</v>
      </c>
      <c r="B91" s="7" t="s">
        <v>165</v>
      </c>
      <c r="C91" s="7" t="s">
        <v>369</v>
      </c>
      <c r="D91" s="7" t="s">
        <v>281</v>
      </c>
      <c r="E91" s="18">
        <v>4.0</v>
      </c>
      <c r="F91" s="18">
        <v>1.0</v>
      </c>
      <c r="G91" s="18">
        <v>1.0</v>
      </c>
      <c r="H91" s="6">
        <f>E91*PV_SESSION+F91*PV_CHALLENGE+G91*PV_WIN</f>
        <v>70</v>
      </c>
    </row>
    <row r="92" ht="15.75" customHeight="1">
      <c r="A92" s="7" t="s">
        <v>164</v>
      </c>
      <c r="B92" s="7" t="s">
        <v>165</v>
      </c>
      <c r="C92" s="7" t="s">
        <v>370</v>
      </c>
      <c r="D92" s="7" t="s">
        <v>281</v>
      </c>
      <c r="E92" s="18">
        <v>4.0</v>
      </c>
      <c r="F92" s="18">
        <v>1.0</v>
      </c>
      <c r="G92" s="19">
        <v>0.0</v>
      </c>
      <c r="H92" s="6">
        <f>E92*PV_SESSION+F92*PV_CHALLENGE+G92*PV_WIN</f>
        <v>40</v>
      </c>
    </row>
    <row r="93" ht="15.75" customHeight="1">
      <c r="A93" s="7" t="s">
        <v>167</v>
      </c>
      <c r="B93" s="7" t="s">
        <v>168</v>
      </c>
      <c r="C93" s="7" t="s">
        <v>289</v>
      </c>
      <c r="D93" s="7" t="s">
        <v>279</v>
      </c>
      <c r="E93" s="18">
        <v>4.0</v>
      </c>
      <c r="F93" s="19">
        <v>0.0</v>
      </c>
      <c r="G93" s="19">
        <v>0.0</v>
      </c>
      <c r="H93" s="6">
        <f>E93*PV_SESSION+F93*PV_CHALLENGE+G93*PV_WIN</f>
        <v>20</v>
      </c>
    </row>
    <row r="94" ht="15.75" customHeight="1">
      <c r="A94" s="7" t="s">
        <v>167</v>
      </c>
      <c r="B94" s="7" t="s">
        <v>168</v>
      </c>
      <c r="C94" s="7" t="s">
        <v>371</v>
      </c>
      <c r="D94" s="7" t="s">
        <v>281</v>
      </c>
      <c r="E94" s="18">
        <v>4.0</v>
      </c>
      <c r="F94" s="19">
        <v>0.0</v>
      </c>
      <c r="G94" s="19">
        <v>0.0</v>
      </c>
      <c r="H94" s="6">
        <f>E94*PV_SESSION+F94*PV_CHALLENGE+G94*PV_WIN</f>
        <v>20</v>
      </c>
    </row>
    <row r="95" ht="15.75" customHeight="1">
      <c r="A95" s="7" t="s">
        <v>169</v>
      </c>
      <c r="B95" s="7" t="s">
        <v>170</v>
      </c>
      <c r="C95" s="7" t="s">
        <v>372</v>
      </c>
      <c r="D95" s="7" t="s">
        <v>279</v>
      </c>
      <c r="E95" s="19">
        <v>0.0</v>
      </c>
      <c r="F95" s="19">
        <v>0.0</v>
      </c>
      <c r="G95" s="19">
        <v>0.0</v>
      </c>
      <c r="H95" s="6">
        <f>E95*PV_SESSION+F95*PV_CHALLENGE+G95*PV_WIN</f>
        <v>0</v>
      </c>
    </row>
    <row r="96" ht="15.75" customHeight="1">
      <c r="A96" s="7" t="s">
        <v>169</v>
      </c>
      <c r="B96" s="7" t="s">
        <v>170</v>
      </c>
      <c r="C96" s="7" t="s">
        <v>373</v>
      </c>
      <c r="D96" s="7" t="s">
        <v>281</v>
      </c>
      <c r="E96" s="19">
        <v>0.0</v>
      </c>
      <c r="F96" s="19">
        <v>0.0</v>
      </c>
      <c r="G96" s="19">
        <v>0.0</v>
      </c>
      <c r="H96" s="6">
        <f>E96*PV_SESSION+F96*PV_CHALLENGE+G96*PV_WIN</f>
        <v>0</v>
      </c>
    </row>
    <row r="97" ht="15.75" customHeight="1">
      <c r="A97" s="7" t="s">
        <v>171</v>
      </c>
      <c r="B97" s="7" t="s">
        <v>172</v>
      </c>
      <c r="C97" s="7" t="s">
        <v>374</v>
      </c>
      <c r="D97" s="7" t="s">
        <v>279</v>
      </c>
      <c r="E97" s="19">
        <v>0.0</v>
      </c>
      <c r="F97" s="19">
        <v>0.0</v>
      </c>
      <c r="G97" s="19">
        <v>0.0</v>
      </c>
      <c r="H97" s="6">
        <f>E97*PV_SESSION+F97*PV_CHALLENGE+G97*PV_WIN</f>
        <v>0</v>
      </c>
    </row>
    <row r="98" ht="15.75" customHeight="1">
      <c r="A98" s="7" t="s">
        <v>173</v>
      </c>
      <c r="B98" s="7" t="s">
        <v>174</v>
      </c>
      <c r="C98" s="7" t="s">
        <v>375</v>
      </c>
      <c r="D98" s="7" t="s">
        <v>279</v>
      </c>
      <c r="E98" s="18">
        <v>4.0</v>
      </c>
      <c r="F98" s="18">
        <v>1.0</v>
      </c>
      <c r="G98" s="19">
        <v>0.0</v>
      </c>
      <c r="H98" s="6">
        <f>E98*PV_SESSION+F98*PV_CHALLENGE+G98*PV_WIN</f>
        <v>40</v>
      </c>
    </row>
    <row r="99" ht="15.75" customHeight="1">
      <c r="A99" s="7" t="s">
        <v>173</v>
      </c>
      <c r="B99" s="7" t="s">
        <v>174</v>
      </c>
      <c r="C99" s="7" t="s">
        <v>376</v>
      </c>
      <c r="D99" s="7" t="s">
        <v>281</v>
      </c>
      <c r="E99" s="18">
        <v>4.0</v>
      </c>
      <c r="F99" s="18">
        <v>1.0</v>
      </c>
      <c r="G99" s="19">
        <v>0.0</v>
      </c>
      <c r="H99" s="6">
        <f>E99*PV_SESSION+F99*PV_CHALLENGE+G99*PV_WIN</f>
        <v>40</v>
      </c>
    </row>
    <row r="100" ht="15.75" customHeight="1">
      <c r="A100" s="7" t="s">
        <v>173</v>
      </c>
      <c r="B100" s="7" t="s">
        <v>174</v>
      </c>
      <c r="C100" s="7" t="s">
        <v>377</v>
      </c>
      <c r="D100" s="7" t="s">
        <v>281</v>
      </c>
      <c r="E100" s="18">
        <v>4.0</v>
      </c>
      <c r="F100" s="18">
        <v>1.0</v>
      </c>
      <c r="G100" s="18">
        <v>1.0</v>
      </c>
      <c r="H100" s="6">
        <f>E100*PV_SESSION+F100*PV_CHALLENGE+G100*PV_WIN</f>
        <v>70</v>
      </c>
    </row>
    <row r="101" ht="15.75" customHeight="1">
      <c r="A101" s="7" t="s">
        <v>175</v>
      </c>
      <c r="B101" s="7" t="s">
        <v>176</v>
      </c>
      <c r="C101" s="7" t="s">
        <v>378</v>
      </c>
      <c r="D101" s="7" t="s">
        <v>279</v>
      </c>
      <c r="E101" s="18">
        <v>0.0</v>
      </c>
      <c r="F101" s="19">
        <v>0.0</v>
      </c>
      <c r="G101" s="19">
        <v>0.0</v>
      </c>
      <c r="H101" s="6">
        <f>E101*PV_SESSION+F101*PV_CHALLENGE+G101*PV_WIN</f>
        <v>0</v>
      </c>
    </row>
    <row r="102" ht="15.75" customHeight="1">
      <c r="A102" s="7" t="s">
        <v>175</v>
      </c>
      <c r="B102" s="7" t="s">
        <v>176</v>
      </c>
      <c r="C102" s="7" t="s">
        <v>379</v>
      </c>
      <c r="D102" s="7" t="s">
        <v>281</v>
      </c>
      <c r="E102" s="19">
        <v>0.0</v>
      </c>
      <c r="F102" s="19">
        <v>0.0</v>
      </c>
      <c r="G102" s="19">
        <v>0.0</v>
      </c>
      <c r="H102" s="6">
        <f>E102*PV_SESSION+F102*PV_CHALLENGE+G102*PV_WIN</f>
        <v>0</v>
      </c>
    </row>
    <row r="103" ht="15.75" customHeight="1">
      <c r="A103" s="7" t="s">
        <v>175</v>
      </c>
      <c r="B103" s="7" t="s">
        <v>176</v>
      </c>
      <c r="C103" s="7" t="s">
        <v>380</v>
      </c>
      <c r="D103" s="7" t="s">
        <v>281</v>
      </c>
      <c r="E103" s="19">
        <v>0.0</v>
      </c>
      <c r="F103" s="19">
        <v>0.0</v>
      </c>
      <c r="G103" s="19">
        <v>0.0</v>
      </c>
      <c r="H103" s="6">
        <f>E103*PV_SESSION+F103*PV_CHALLENGE+G103*PV_WIN</f>
        <v>0</v>
      </c>
    </row>
    <row r="104" ht="15.75" customHeight="1">
      <c r="A104" s="7" t="s">
        <v>177</v>
      </c>
      <c r="B104" s="7" t="s">
        <v>178</v>
      </c>
      <c r="C104" s="7" t="s">
        <v>381</v>
      </c>
      <c r="D104" s="7" t="s">
        <v>279</v>
      </c>
      <c r="E104" s="19">
        <v>0.0</v>
      </c>
      <c r="F104" s="19">
        <v>0.0</v>
      </c>
      <c r="G104" s="19">
        <v>0.0</v>
      </c>
      <c r="H104" s="6">
        <f>E104*PV_SESSION+F104*PV_CHALLENGE+G104*PV_WIN</f>
        <v>0</v>
      </c>
    </row>
    <row r="105" ht="15.75" customHeight="1">
      <c r="A105" s="7" t="s">
        <v>177</v>
      </c>
      <c r="B105" s="7" t="s">
        <v>178</v>
      </c>
      <c r="C105" s="7" t="s">
        <v>382</v>
      </c>
      <c r="D105" s="7" t="s">
        <v>281</v>
      </c>
      <c r="E105" s="19">
        <v>0.0</v>
      </c>
      <c r="F105" s="19">
        <v>0.0</v>
      </c>
      <c r="G105" s="19">
        <v>0.0</v>
      </c>
      <c r="H105" s="6">
        <f>E105*PV_SESSION+F105*PV_CHALLENGE+G105*PV_WIN</f>
        <v>0</v>
      </c>
    </row>
    <row r="106" ht="15.75" customHeight="1">
      <c r="A106" s="7" t="s">
        <v>179</v>
      </c>
      <c r="B106" s="7" t="s">
        <v>180</v>
      </c>
      <c r="C106" s="7" t="s">
        <v>383</v>
      </c>
      <c r="D106" s="7" t="s">
        <v>279</v>
      </c>
      <c r="E106" s="19">
        <v>0.0</v>
      </c>
      <c r="F106" s="19">
        <v>0.0</v>
      </c>
      <c r="G106" s="19">
        <v>0.0</v>
      </c>
      <c r="H106" s="6">
        <f>E106*PV_SESSION+F106*PV_CHALLENGE+G106*PV_WIN</f>
        <v>0</v>
      </c>
    </row>
    <row r="107" ht="15.75" customHeight="1">
      <c r="A107" s="7" t="s">
        <v>179</v>
      </c>
      <c r="B107" s="7" t="s">
        <v>180</v>
      </c>
      <c r="C107" s="7" t="s">
        <v>384</v>
      </c>
      <c r="D107" s="7" t="s">
        <v>281</v>
      </c>
      <c r="E107" s="19">
        <v>0.0</v>
      </c>
      <c r="F107" s="19">
        <v>0.0</v>
      </c>
      <c r="G107" s="19">
        <v>0.0</v>
      </c>
      <c r="H107" s="6">
        <f>E107*PV_SESSION+F107*PV_CHALLENGE+G107*PV_WIN</f>
        <v>0</v>
      </c>
    </row>
    <row r="108" ht="15.75" customHeight="1">
      <c r="A108" s="7" t="s">
        <v>179</v>
      </c>
      <c r="B108" s="7" t="s">
        <v>180</v>
      </c>
      <c r="C108" s="7" t="s">
        <v>385</v>
      </c>
      <c r="D108" s="7" t="s">
        <v>281</v>
      </c>
      <c r="E108" s="19">
        <v>0.0</v>
      </c>
      <c r="F108" s="19">
        <v>0.0</v>
      </c>
      <c r="G108" s="19">
        <v>0.0</v>
      </c>
      <c r="H108" s="6">
        <f>E108*PV_SESSION+F108*PV_CHALLENGE+G108*PV_WIN</f>
        <v>0</v>
      </c>
    </row>
    <row r="109" ht="15.75" customHeight="1">
      <c r="A109" s="7" t="s">
        <v>179</v>
      </c>
      <c r="B109" s="7" t="s">
        <v>180</v>
      </c>
      <c r="C109" s="7" t="s">
        <v>386</v>
      </c>
      <c r="D109" s="7" t="s">
        <v>281</v>
      </c>
      <c r="E109" s="19">
        <v>0.0</v>
      </c>
      <c r="F109" s="19">
        <v>0.0</v>
      </c>
      <c r="G109" s="19">
        <v>0.0</v>
      </c>
      <c r="H109" s="6">
        <f>E109*PV_SESSION+F109*PV_CHALLENGE+G109*PV_WIN</f>
        <v>0</v>
      </c>
    </row>
    <row r="110" ht="15.75" customHeight="1">
      <c r="A110" s="7" t="s">
        <v>181</v>
      </c>
      <c r="B110" s="7" t="s">
        <v>182</v>
      </c>
      <c r="C110" s="7" t="s">
        <v>387</v>
      </c>
      <c r="D110" s="7" t="s">
        <v>279</v>
      </c>
      <c r="E110" s="19">
        <v>0.0</v>
      </c>
      <c r="F110" s="19">
        <v>0.0</v>
      </c>
      <c r="G110" s="19">
        <v>0.0</v>
      </c>
      <c r="H110" s="6">
        <f>E110*PV_SESSION+F110*PV_CHALLENGE+G110*PV_WIN</f>
        <v>0</v>
      </c>
    </row>
    <row r="111" ht="15.75" customHeight="1">
      <c r="A111" s="7" t="s">
        <v>181</v>
      </c>
      <c r="B111" s="7" t="s">
        <v>182</v>
      </c>
      <c r="C111" s="7" t="s">
        <v>388</v>
      </c>
      <c r="D111" s="7" t="s">
        <v>281</v>
      </c>
      <c r="E111" s="19">
        <v>0.0</v>
      </c>
      <c r="F111" s="19">
        <v>0.0</v>
      </c>
      <c r="G111" s="19">
        <v>0.0</v>
      </c>
      <c r="H111" s="6">
        <f>E111*PV_SESSION+F111*PV_CHALLENGE+G111*PV_WIN</f>
        <v>0</v>
      </c>
    </row>
    <row r="112" ht="15.75" customHeight="1">
      <c r="A112" s="7" t="s">
        <v>183</v>
      </c>
      <c r="B112" s="7" t="s">
        <v>184</v>
      </c>
      <c r="C112" s="7" t="s">
        <v>389</v>
      </c>
      <c r="D112" s="7" t="s">
        <v>279</v>
      </c>
      <c r="E112" s="19">
        <v>0.0</v>
      </c>
      <c r="F112" s="19">
        <v>0.0</v>
      </c>
      <c r="G112" s="19">
        <v>0.0</v>
      </c>
      <c r="H112" s="6">
        <f>E112*PV_SESSION+F112*PV_CHALLENGE+G112*PV_WIN</f>
        <v>0</v>
      </c>
    </row>
    <row r="113" ht="15.75" customHeight="1">
      <c r="A113" s="7" t="s">
        <v>183</v>
      </c>
      <c r="B113" s="7" t="s">
        <v>184</v>
      </c>
      <c r="C113" s="7" t="s">
        <v>390</v>
      </c>
      <c r="D113" s="7" t="s">
        <v>281</v>
      </c>
      <c r="E113" s="19">
        <v>0.0</v>
      </c>
      <c r="F113" s="19">
        <v>0.0</v>
      </c>
      <c r="G113" s="19">
        <v>0.0</v>
      </c>
      <c r="H113" s="6">
        <f>E113*PV_SESSION+F113*PV_CHALLENGE+G113*PV_WIN</f>
        <v>0</v>
      </c>
    </row>
    <row r="114" ht="15.75" customHeight="1">
      <c r="A114" s="7" t="s">
        <v>185</v>
      </c>
      <c r="B114" s="7" t="s">
        <v>186</v>
      </c>
      <c r="C114" s="7" t="s">
        <v>391</v>
      </c>
      <c r="D114" s="7" t="s">
        <v>279</v>
      </c>
      <c r="E114" s="18">
        <v>4.0</v>
      </c>
      <c r="F114" s="18">
        <v>1.0</v>
      </c>
      <c r="G114" s="19">
        <v>0.0</v>
      </c>
      <c r="H114" s="6">
        <f>E114*PV_SESSION+F114*PV_CHALLENGE+G114*PV_WIN</f>
        <v>40</v>
      </c>
    </row>
    <row r="115" ht="15.75" customHeight="1">
      <c r="A115" s="7" t="s">
        <v>185</v>
      </c>
      <c r="B115" s="7" t="s">
        <v>186</v>
      </c>
      <c r="C115" s="7" t="s">
        <v>392</v>
      </c>
      <c r="D115" s="7" t="s">
        <v>281</v>
      </c>
      <c r="E115" s="18">
        <v>4.0</v>
      </c>
      <c r="F115" s="18">
        <v>1.0</v>
      </c>
      <c r="G115" s="19">
        <v>0.0</v>
      </c>
      <c r="H115" s="6">
        <f>E115*PV_SESSION+F115*PV_CHALLENGE+G115*PV_WIN</f>
        <v>40</v>
      </c>
    </row>
    <row r="116" ht="15.75" customHeight="1">
      <c r="A116" s="7" t="s">
        <v>185</v>
      </c>
      <c r="B116" s="7" t="s">
        <v>186</v>
      </c>
      <c r="C116" s="7" t="s">
        <v>393</v>
      </c>
      <c r="D116" s="7" t="s">
        <v>281</v>
      </c>
      <c r="E116" s="18">
        <v>4.0</v>
      </c>
      <c r="F116" s="18">
        <v>1.0</v>
      </c>
      <c r="G116" s="18">
        <v>1.0</v>
      </c>
      <c r="H116" s="6">
        <f>E116*PV_SESSION+F116*PV_CHALLENGE+G116*PV_WIN</f>
        <v>70</v>
      </c>
    </row>
    <row r="117" ht="15.75" customHeight="1">
      <c r="A117" s="7" t="s">
        <v>187</v>
      </c>
      <c r="B117" s="7" t="s">
        <v>188</v>
      </c>
      <c r="C117" s="7" t="s">
        <v>394</v>
      </c>
      <c r="D117" s="7" t="s">
        <v>279</v>
      </c>
      <c r="E117" s="18">
        <v>4.0</v>
      </c>
      <c r="F117" s="18">
        <v>1.0</v>
      </c>
      <c r="G117" s="19">
        <v>0.0</v>
      </c>
      <c r="H117" s="6">
        <f>E117*PV_SESSION+F117*PV_CHALLENGE+G117*PV_WIN</f>
        <v>40</v>
      </c>
    </row>
    <row r="118" ht="15.75" customHeight="1">
      <c r="A118" s="7" t="s">
        <v>187</v>
      </c>
      <c r="B118" s="7" t="s">
        <v>188</v>
      </c>
      <c r="C118" s="7" t="s">
        <v>395</v>
      </c>
      <c r="D118" s="7" t="s">
        <v>281</v>
      </c>
      <c r="E118" s="18">
        <v>2.0</v>
      </c>
      <c r="F118" s="18">
        <v>1.0</v>
      </c>
      <c r="G118" s="19">
        <v>0.0</v>
      </c>
      <c r="H118" s="6">
        <f>E118*PV_SESSION+F118*PV_CHALLENGE+G118*PV_WIN</f>
        <v>30</v>
      </c>
    </row>
    <row r="119" ht="15.75" customHeight="1">
      <c r="A119" s="7" t="s">
        <v>187</v>
      </c>
      <c r="B119" s="7" t="s">
        <v>188</v>
      </c>
      <c r="C119" s="7" t="s">
        <v>396</v>
      </c>
      <c r="D119" s="7" t="s">
        <v>281</v>
      </c>
      <c r="E119" s="18">
        <v>3.0</v>
      </c>
      <c r="F119" s="19">
        <v>0.0</v>
      </c>
      <c r="G119" s="19">
        <v>0.0</v>
      </c>
      <c r="H119" s="6">
        <f>E119*PV_SESSION+F119*PV_CHALLENGE+G119*PV_WIN</f>
        <v>15</v>
      </c>
    </row>
    <row r="120" ht="15.75" customHeight="1">
      <c r="A120" s="7" t="s">
        <v>189</v>
      </c>
      <c r="B120" s="7" t="s">
        <v>190</v>
      </c>
      <c r="C120" s="7" t="s">
        <v>397</v>
      </c>
      <c r="D120" s="7" t="s">
        <v>279</v>
      </c>
      <c r="E120" s="19">
        <v>0.0</v>
      </c>
      <c r="F120" s="19">
        <v>0.0</v>
      </c>
      <c r="G120" s="19">
        <v>0.0</v>
      </c>
      <c r="H120" s="6">
        <f>E120*PV_SESSION+F120*PV_CHALLENGE+G120*PV_WIN</f>
        <v>0</v>
      </c>
    </row>
    <row r="121" ht="15.75" customHeight="1">
      <c r="A121" s="7" t="s">
        <v>191</v>
      </c>
      <c r="B121" s="7" t="s">
        <v>192</v>
      </c>
      <c r="C121" s="7" t="s">
        <v>398</v>
      </c>
      <c r="D121" s="7" t="s">
        <v>279</v>
      </c>
      <c r="E121" s="19">
        <v>0.0</v>
      </c>
      <c r="F121" s="19">
        <v>0.0</v>
      </c>
      <c r="G121" s="19">
        <v>0.0</v>
      </c>
      <c r="H121" s="6">
        <f>E121*PV_SESSION+F121*PV_CHALLENGE+G121*PV_WIN</f>
        <v>0</v>
      </c>
    </row>
    <row r="122" ht="15.75" customHeight="1">
      <c r="A122" s="7" t="s">
        <v>193</v>
      </c>
      <c r="B122" s="7" t="s">
        <v>194</v>
      </c>
      <c r="C122" s="7" t="s">
        <v>399</v>
      </c>
      <c r="D122" s="7" t="s">
        <v>279</v>
      </c>
      <c r="E122" s="19">
        <v>0.0</v>
      </c>
      <c r="F122" s="19">
        <v>0.0</v>
      </c>
      <c r="G122" s="19">
        <v>0.0</v>
      </c>
      <c r="H122" s="6">
        <f>E122*PV_SESSION+F122*PV_CHALLENGE+G122*PV_WIN</f>
        <v>0</v>
      </c>
    </row>
    <row r="123" ht="15.75" customHeight="1">
      <c r="A123" s="7" t="s">
        <v>195</v>
      </c>
      <c r="B123" s="7" t="s">
        <v>196</v>
      </c>
      <c r="C123" s="7" t="s">
        <v>400</v>
      </c>
      <c r="D123" s="7" t="s">
        <v>279</v>
      </c>
      <c r="E123" s="19">
        <v>0.0</v>
      </c>
      <c r="F123" s="19">
        <v>0.0</v>
      </c>
      <c r="G123" s="19">
        <v>0.0</v>
      </c>
      <c r="H123" s="6">
        <f>E123*PV_SESSION+F123*PV_CHALLENGE+G123*PV_WIN</f>
        <v>0</v>
      </c>
    </row>
    <row r="124" ht="15.75" customHeight="1">
      <c r="A124" s="7" t="s">
        <v>197</v>
      </c>
      <c r="B124" s="7" t="s">
        <v>198</v>
      </c>
      <c r="C124" s="7" t="s">
        <v>401</v>
      </c>
      <c r="D124" s="7" t="s">
        <v>279</v>
      </c>
      <c r="E124" s="19">
        <v>0.0</v>
      </c>
      <c r="F124" s="19">
        <v>0.0</v>
      </c>
      <c r="G124" s="19">
        <v>0.0</v>
      </c>
      <c r="H124" s="6">
        <f>E124*PV_SESSION+F124*PV_CHALLENGE+G124*PV_WIN</f>
        <v>0</v>
      </c>
    </row>
    <row r="125" ht="15.75" customHeight="1">
      <c r="A125" s="7" t="s">
        <v>197</v>
      </c>
      <c r="B125" s="7" t="s">
        <v>198</v>
      </c>
      <c r="C125" s="7" t="s">
        <v>402</v>
      </c>
      <c r="D125" s="7" t="s">
        <v>281</v>
      </c>
      <c r="E125" s="19">
        <v>0.0</v>
      </c>
      <c r="F125" s="19">
        <v>0.0</v>
      </c>
      <c r="G125" s="19">
        <v>0.0</v>
      </c>
      <c r="H125" s="6">
        <f>E125*PV_SESSION+F125*PV_CHALLENGE+G125*PV_WIN</f>
        <v>0</v>
      </c>
    </row>
    <row r="126" ht="15.75" customHeight="1">
      <c r="A126" s="7" t="s">
        <v>199</v>
      </c>
      <c r="B126" s="7" t="s">
        <v>200</v>
      </c>
      <c r="C126" s="7" t="s">
        <v>403</v>
      </c>
      <c r="D126" s="7" t="s">
        <v>279</v>
      </c>
      <c r="E126" s="19">
        <v>0.0</v>
      </c>
      <c r="F126" s="19">
        <v>0.0</v>
      </c>
      <c r="G126" s="19">
        <v>0.0</v>
      </c>
      <c r="H126" s="6">
        <f>E126*PV_SESSION+F126*PV_CHALLENGE+G126*PV_WIN</f>
        <v>0</v>
      </c>
    </row>
    <row r="127" ht="15.75" customHeight="1">
      <c r="A127" s="7" t="s">
        <v>201</v>
      </c>
      <c r="B127" s="7" t="s">
        <v>202</v>
      </c>
      <c r="C127" s="7" t="s">
        <v>404</v>
      </c>
      <c r="D127" s="7" t="s">
        <v>279</v>
      </c>
      <c r="E127" s="18">
        <v>3.0</v>
      </c>
      <c r="F127" s="19">
        <v>0.0</v>
      </c>
      <c r="G127" s="19">
        <v>0.0</v>
      </c>
      <c r="H127" s="6">
        <f>E127*PV_SESSION+F127*PV_CHALLENGE+G127*PV_WIN</f>
        <v>15</v>
      </c>
    </row>
    <row r="128" ht="15.75" customHeight="1">
      <c r="A128" s="7" t="s">
        <v>203</v>
      </c>
      <c r="B128" s="7" t="s">
        <v>204</v>
      </c>
      <c r="C128" s="7" t="s">
        <v>405</v>
      </c>
      <c r="D128" s="7" t="s">
        <v>279</v>
      </c>
      <c r="E128" s="19">
        <v>0.0</v>
      </c>
      <c r="F128" s="19">
        <v>0.0</v>
      </c>
      <c r="G128" s="19">
        <v>0.0</v>
      </c>
      <c r="H128" s="6">
        <f>E128*PV_SESSION+F128*PV_CHALLENGE+G128*PV_WIN</f>
        <v>0</v>
      </c>
    </row>
    <row r="129" ht="15.75" customHeight="1">
      <c r="A129" s="7" t="s">
        <v>203</v>
      </c>
      <c r="B129" s="7" t="s">
        <v>204</v>
      </c>
      <c r="C129" s="7" t="s">
        <v>406</v>
      </c>
      <c r="D129" s="7" t="s">
        <v>281</v>
      </c>
      <c r="E129" s="19">
        <v>0.0</v>
      </c>
      <c r="F129" s="19">
        <v>0.0</v>
      </c>
      <c r="G129" s="19">
        <v>0.0</v>
      </c>
      <c r="H129" s="6">
        <f>E129*PV_SESSION+F129*PV_CHALLENGE+G129*PV_WIN</f>
        <v>0</v>
      </c>
    </row>
    <row r="130" ht="15.75" customHeight="1">
      <c r="A130" s="7" t="s">
        <v>205</v>
      </c>
      <c r="B130" s="7" t="s">
        <v>206</v>
      </c>
      <c r="C130" s="7" t="s">
        <v>407</v>
      </c>
      <c r="D130" s="7" t="s">
        <v>279</v>
      </c>
      <c r="E130" s="19">
        <v>0.0</v>
      </c>
      <c r="F130" s="19">
        <v>0.0</v>
      </c>
      <c r="G130" s="19">
        <v>0.0</v>
      </c>
      <c r="H130" s="6">
        <f>E130*PV_SESSION+F130*PV_CHALLENGE+G130*PV_WIN</f>
        <v>0</v>
      </c>
    </row>
    <row r="131" ht="15.75" customHeight="1">
      <c r="A131" s="7" t="s">
        <v>207</v>
      </c>
      <c r="B131" s="7" t="s">
        <v>208</v>
      </c>
      <c r="C131" s="7" t="s">
        <v>408</v>
      </c>
      <c r="D131" s="7" t="s">
        <v>279</v>
      </c>
      <c r="E131" s="18">
        <v>4.0</v>
      </c>
      <c r="F131" s="18">
        <v>1.0</v>
      </c>
      <c r="G131" s="19">
        <v>0.0</v>
      </c>
      <c r="H131" s="6">
        <f>E131*PV_SESSION+F131*PV_CHALLENGE+G131*PV_WIN</f>
        <v>40</v>
      </c>
    </row>
    <row r="132" ht="15.75" customHeight="1">
      <c r="A132" s="7" t="s">
        <v>207</v>
      </c>
      <c r="B132" s="7" t="s">
        <v>208</v>
      </c>
      <c r="C132" s="7" t="s">
        <v>409</v>
      </c>
      <c r="D132" s="7" t="s">
        <v>281</v>
      </c>
      <c r="E132" s="18">
        <v>1.0</v>
      </c>
      <c r="F132" s="19">
        <v>0.0</v>
      </c>
      <c r="G132" s="19">
        <v>0.0</v>
      </c>
      <c r="H132" s="6">
        <f>E132*PV_SESSION+F132*PV_CHALLENGE+G132*PV_WIN</f>
        <v>5</v>
      </c>
    </row>
    <row r="133" ht="15.75" customHeight="1">
      <c r="A133" s="7" t="s">
        <v>207</v>
      </c>
      <c r="B133" s="7" t="s">
        <v>208</v>
      </c>
      <c r="C133" s="7" t="s">
        <v>410</v>
      </c>
      <c r="D133" s="7" t="s">
        <v>281</v>
      </c>
      <c r="E133" s="19">
        <v>0.0</v>
      </c>
      <c r="F133" s="19">
        <v>0.0</v>
      </c>
      <c r="G133" s="19">
        <v>0.0</v>
      </c>
      <c r="H133" s="6">
        <f>E133*PV_SESSION+F133*PV_CHALLENGE+G133*PV_WIN</f>
        <v>0</v>
      </c>
    </row>
    <row r="134" ht="15.75" customHeight="1">
      <c r="A134" s="7" t="s">
        <v>209</v>
      </c>
      <c r="B134" s="7" t="s">
        <v>210</v>
      </c>
      <c r="C134" s="7" t="s">
        <v>411</v>
      </c>
      <c r="D134" s="7" t="s">
        <v>279</v>
      </c>
      <c r="E134" s="19">
        <v>0.0</v>
      </c>
      <c r="F134" s="19">
        <v>0.0</v>
      </c>
      <c r="G134" s="19">
        <v>0.0</v>
      </c>
      <c r="H134" s="6">
        <f>E134*PV_SESSION+F134*PV_CHALLENGE+G134*PV_WIN</f>
        <v>0</v>
      </c>
    </row>
    <row r="135" ht="15.75" customHeight="1">
      <c r="A135" s="7" t="s">
        <v>209</v>
      </c>
      <c r="B135" s="7" t="s">
        <v>210</v>
      </c>
      <c r="C135" s="7" t="s">
        <v>412</v>
      </c>
      <c r="D135" s="7" t="s">
        <v>281</v>
      </c>
      <c r="E135" s="19">
        <v>0.0</v>
      </c>
      <c r="F135" s="19">
        <v>0.0</v>
      </c>
      <c r="G135" s="19">
        <v>0.0</v>
      </c>
      <c r="H135" s="6">
        <f>E135*PV_SESSION+F135*PV_CHALLENGE+G135*PV_WIN</f>
        <v>0</v>
      </c>
    </row>
    <row r="136" ht="15.75" customHeight="1">
      <c r="A136" s="7" t="s">
        <v>209</v>
      </c>
      <c r="B136" s="7" t="s">
        <v>210</v>
      </c>
      <c r="C136" s="7" t="s">
        <v>413</v>
      </c>
      <c r="D136" s="7" t="s">
        <v>281</v>
      </c>
      <c r="E136" s="19">
        <v>0.0</v>
      </c>
      <c r="F136" s="19">
        <v>0.0</v>
      </c>
      <c r="G136" s="19">
        <v>0.0</v>
      </c>
      <c r="H136" s="6">
        <f>E136*PV_SESSION+F136*PV_CHALLENGE+G136*PV_WIN</f>
        <v>0</v>
      </c>
    </row>
    <row r="137" ht="15.75" customHeight="1">
      <c r="A137" s="7" t="s">
        <v>211</v>
      </c>
      <c r="B137" s="7" t="s">
        <v>212</v>
      </c>
      <c r="C137" s="7" t="s">
        <v>414</v>
      </c>
      <c r="D137" s="7" t="s">
        <v>279</v>
      </c>
      <c r="E137" s="19">
        <v>0.0</v>
      </c>
      <c r="F137" s="19">
        <v>0.0</v>
      </c>
      <c r="G137" s="19">
        <v>0.0</v>
      </c>
      <c r="H137" s="6">
        <f>E137*PV_SESSION+F137*PV_CHALLENGE+G137*PV_WIN</f>
        <v>0</v>
      </c>
    </row>
    <row r="138" ht="15.75" customHeight="1">
      <c r="A138" s="7" t="s">
        <v>213</v>
      </c>
      <c r="B138" s="7" t="s">
        <v>214</v>
      </c>
      <c r="C138" s="7" t="s">
        <v>415</v>
      </c>
      <c r="D138" s="7" t="s">
        <v>279</v>
      </c>
      <c r="E138" s="19">
        <v>0.0</v>
      </c>
      <c r="F138" s="19">
        <v>0.0</v>
      </c>
      <c r="G138" s="19">
        <v>0.0</v>
      </c>
      <c r="H138" s="6">
        <f>E138*PV_SESSION+F138*PV_CHALLENGE+G138*PV_WIN</f>
        <v>0</v>
      </c>
    </row>
    <row r="139" ht="15.75" customHeight="1">
      <c r="A139" s="7" t="s">
        <v>213</v>
      </c>
      <c r="B139" s="7" t="s">
        <v>214</v>
      </c>
      <c r="C139" s="7" t="s">
        <v>416</v>
      </c>
      <c r="D139" s="7" t="s">
        <v>281</v>
      </c>
      <c r="E139" s="19">
        <v>0.0</v>
      </c>
      <c r="F139" s="19">
        <v>0.0</v>
      </c>
      <c r="G139" s="19">
        <v>0.0</v>
      </c>
      <c r="H139" s="6">
        <f>E139*PV_SESSION+F139*PV_CHALLENGE+G139*PV_WIN</f>
        <v>0</v>
      </c>
    </row>
    <row r="140" ht="15.75" customHeight="1">
      <c r="A140" s="7" t="s">
        <v>215</v>
      </c>
      <c r="B140" s="7" t="s">
        <v>216</v>
      </c>
      <c r="C140" s="7" t="s">
        <v>417</v>
      </c>
      <c r="D140" s="7" t="s">
        <v>279</v>
      </c>
      <c r="E140" s="18">
        <v>4.0</v>
      </c>
      <c r="F140" s="18">
        <v>1.0</v>
      </c>
      <c r="G140" s="18">
        <v>1.0</v>
      </c>
      <c r="H140" s="6">
        <f>E140*PV_SESSION+F140*PV_CHALLENGE+G140*PV_WIN</f>
        <v>70</v>
      </c>
    </row>
    <row r="141" ht="15.75" customHeight="1">
      <c r="A141" s="7" t="s">
        <v>215</v>
      </c>
      <c r="B141" s="7" t="s">
        <v>216</v>
      </c>
      <c r="C141" s="7" t="s">
        <v>417</v>
      </c>
      <c r="D141" s="7" t="s">
        <v>281</v>
      </c>
      <c r="E141" s="18">
        <v>4.0</v>
      </c>
      <c r="F141" s="18">
        <v>1.0</v>
      </c>
      <c r="G141" s="18">
        <v>1.0</v>
      </c>
      <c r="H141" s="6">
        <f>E141*PV_SESSION+F141*PV_CHALLENGE+G141*PV_WIN</f>
        <v>70</v>
      </c>
    </row>
    <row r="142" ht="15.75" customHeight="1">
      <c r="A142" s="7" t="s">
        <v>217</v>
      </c>
      <c r="B142" s="7" t="s">
        <v>218</v>
      </c>
      <c r="C142" s="7" t="s">
        <v>418</v>
      </c>
      <c r="D142" s="7" t="s">
        <v>279</v>
      </c>
      <c r="E142" s="19">
        <v>0.0</v>
      </c>
      <c r="F142" s="19">
        <v>0.0</v>
      </c>
      <c r="G142" s="19">
        <v>0.0</v>
      </c>
      <c r="H142" s="6">
        <f>E142*PV_SESSION+F142*PV_CHALLENGE+G142*PV_WIN</f>
        <v>0</v>
      </c>
    </row>
    <row r="143" ht="15.75" customHeight="1">
      <c r="A143" s="7" t="s">
        <v>217</v>
      </c>
      <c r="B143" s="7" t="s">
        <v>218</v>
      </c>
      <c r="C143" s="7" t="s">
        <v>419</v>
      </c>
      <c r="D143" s="7" t="s">
        <v>281</v>
      </c>
      <c r="E143" s="19">
        <v>0.0</v>
      </c>
      <c r="F143" s="19">
        <v>0.0</v>
      </c>
      <c r="G143" s="19">
        <v>0.0</v>
      </c>
      <c r="H143" s="6">
        <f>E143*PV_SESSION+F143*PV_CHALLENGE+G143*PV_WIN</f>
        <v>0</v>
      </c>
    </row>
    <row r="144" ht="15.75" customHeight="1">
      <c r="A144" s="7" t="s">
        <v>217</v>
      </c>
      <c r="B144" s="7" t="s">
        <v>218</v>
      </c>
      <c r="C144" s="7" t="s">
        <v>420</v>
      </c>
      <c r="D144" s="7" t="s">
        <v>281</v>
      </c>
      <c r="E144" s="19">
        <v>0.0</v>
      </c>
      <c r="F144" s="19">
        <v>0.0</v>
      </c>
      <c r="G144" s="19">
        <v>0.0</v>
      </c>
      <c r="H144" s="6">
        <f>E144*PV_SESSION+F144*PV_CHALLENGE+G144*PV_WIN</f>
        <v>0</v>
      </c>
    </row>
    <row r="145" ht="15.75" customHeight="1">
      <c r="A145" s="7" t="s">
        <v>217</v>
      </c>
      <c r="B145" s="7" t="s">
        <v>218</v>
      </c>
      <c r="C145" s="7" t="s">
        <v>421</v>
      </c>
      <c r="D145" s="7" t="s">
        <v>281</v>
      </c>
      <c r="E145" s="19">
        <v>0.0</v>
      </c>
      <c r="F145" s="19">
        <v>0.0</v>
      </c>
      <c r="G145" s="19">
        <v>0.0</v>
      </c>
      <c r="H145" s="6">
        <f>E145*PV_SESSION+F145*PV_CHALLENGE+G145*PV_WIN</f>
        <v>0</v>
      </c>
    </row>
    <row r="146" ht="15.75" customHeight="1">
      <c r="A146" s="7" t="s">
        <v>219</v>
      </c>
      <c r="B146" s="7" t="s">
        <v>220</v>
      </c>
      <c r="C146" s="7" t="s">
        <v>422</v>
      </c>
      <c r="D146" s="7" t="s">
        <v>279</v>
      </c>
      <c r="E146" s="19">
        <v>0.0</v>
      </c>
      <c r="F146" s="19">
        <v>0.0</v>
      </c>
      <c r="G146" s="19">
        <v>0.0</v>
      </c>
      <c r="H146" s="6">
        <f>E146*PV_SESSION+F146*PV_CHALLENGE+G146*PV_WIN</f>
        <v>0</v>
      </c>
    </row>
    <row r="147" ht="15.75" customHeight="1">
      <c r="A147" s="7" t="s">
        <v>219</v>
      </c>
      <c r="B147" s="7" t="s">
        <v>220</v>
      </c>
      <c r="C147" s="7" t="s">
        <v>423</v>
      </c>
      <c r="D147" s="7" t="s">
        <v>281</v>
      </c>
      <c r="E147" s="19">
        <v>0.0</v>
      </c>
      <c r="F147" s="19">
        <v>0.0</v>
      </c>
      <c r="G147" s="19">
        <v>0.0</v>
      </c>
      <c r="H147" s="6">
        <f>E147*PV_SESSION+F147*PV_CHALLENGE+G147*PV_WIN</f>
        <v>0</v>
      </c>
    </row>
    <row r="148" ht="15.75" customHeight="1">
      <c r="A148" s="7" t="s">
        <v>219</v>
      </c>
      <c r="B148" s="7" t="s">
        <v>220</v>
      </c>
      <c r="C148" s="7" t="s">
        <v>424</v>
      </c>
      <c r="D148" s="7" t="s">
        <v>281</v>
      </c>
      <c r="E148" s="19">
        <v>0.0</v>
      </c>
      <c r="F148" s="19">
        <v>0.0</v>
      </c>
      <c r="G148" s="19">
        <v>0.0</v>
      </c>
      <c r="H148" s="6">
        <f>E148*PV_SESSION+F148*PV_CHALLENGE+G148*PV_WIN</f>
        <v>0</v>
      </c>
    </row>
    <row r="149" ht="15.75" customHeight="1">
      <c r="A149" s="7" t="s">
        <v>219</v>
      </c>
      <c r="B149" s="7" t="s">
        <v>220</v>
      </c>
      <c r="C149" s="7" t="s">
        <v>425</v>
      </c>
      <c r="D149" s="7" t="s">
        <v>281</v>
      </c>
      <c r="E149" s="19">
        <v>0.0</v>
      </c>
      <c r="F149" s="19">
        <v>0.0</v>
      </c>
      <c r="G149" s="19">
        <v>0.0</v>
      </c>
      <c r="H149" s="6">
        <f>E149*PV_SESSION+F149*PV_CHALLENGE+G149*PV_WIN</f>
        <v>0</v>
      </c>
    </row>
    <row r="150" ht="15.75" customHeight="1">
      <c r="A150" s="7" t="s">
        <v>221</v>
      </c>
      <c r="B150" s="7" t="s">
        <v>222</v>
      </c>
      <c r="C150" s="7" t="s">
        <v>426</v>
      </c>
      <c r="D150" s="7" t="s">
        <v>279</v>
      </c>
      <c r="E150" s="19">
        <v>0.0</v>
      </c>
      <c r="F150" s="19">
        <v>0.0</v>
      </c>
      <c r="G150" s="19">
        <v>0.0</v>
      </c>
      <c r="H150" s="6">
        <f>E150*PV_SESSION+F150*PV_CHALLENGE+G150*PV_WIN</f>
        <v>0</v>
      </c>
    </row>
    <row r="151" ht="15.75" customHeight="1">
      <c r="A151" s="7" t="s">
        <v>221</v>
      </c>
      <c r="B151" s="7" t="s">
        <v>222</v>
      </c>
      <c r="C151" s="7" t="s">
        <v>427</v>
      </c>
      <c r="D151" s="7" t="s">
        <v>281</v>
      </c>
      <c r="E151" s="19">
        <v>0.0</v>
      </c>
      <c r="F151" s="19">
        <v>0.0</v>
      </c>
      <c r="G151" s="19">
        <v>0.0</v>
      </c>
      <c r="H151" s="6">
        <f>E151*PV_SESSION+F151*PV_CHALLENGE+G151*PV_WIN</f>
        <v>0</v>
      </c>
    </row>
    <row r="152" ht="15.75" customHeight="1">
      <c r="A152" s="7" t="s">
        <v>221</v>
      </c>
      <c r="B152" s="7" t="s">
        <v>222</v>
      </c>
      <c r="C152" s="7" t="s">
        <v>428</v>
      </c>
      <c r="D152" s="7" t="s">
        <v>281</v>
      </c>
      <c r="E152" s="19">
        <v>0.0</v>
      </c>
      <c r="F152" s="19">
        <v>0.0</v>
      </c>
      <c r="G152" s="19">
        <v>0.0</v>
      </c>
      <c r="H152" s="6">
        <f>E152*PV_SESSION+F152*PV_CHALLENGE+G152*PV_WIN</f>
        <v>0</v>
      </c>
    </row>
    <row r="153" ht="15.75" customHeight="1">
      <c r="A153" s="7" t="s">
        <v>223</v>
      </c>
      <c r="B153" s="7" t="s">
        <v>224</v>
      </c>
      <c r="C153" s="7" t="s">
        <v>429</v>
      </c>
      <c r="D153" s="7" t="s">
        <v>279</v>
      </c>
      <c r="E153" s="19">
        <v>0.0</v>
      </c>
      <c r="F153" s="19">
        <v>0.0</v>
      </c>
      <c r="G153" s="19">
        <v>0.0</v>
      </c>
      <c r="H153" s="6">
        <f>E153*PV_SESSION+F153*PV_CHALLENGE+G153*PV_WIN</f>
        <v>0</v>
      </c>
    </row>
    <row r="154" ht="15.75" customHeight="1">
      <c r="A154" s="7" t="s">
        <v>223</v>
      </c>
      <c r="B154" s="7" t="s">
        <v>224</v>
      </c>
      <c r="C154" s="7" t="s">
        <v>430</v>
      </c>
      <c r="D154" s="7" t="s">
        <v>281</v>
      </c>
      <c r="E154" s="19">
        <v>0.0</v>
      </c>
      <c r="F154" s="19">
        <v>0.0</v>
      </c>
      <c r="G154" s="19">
        <v>0.0</v>
      </c>
      <c r="H154" s="6">
        <f>E154*PV_SESSION+F154*PV_CHALLENGE+G154*PV_WIN</f>
        <v>0</v>
      </c>
    </row>
    <row r="155" ht="15.75" customHeight="1">
      <c r="A155" s="7" t="s">
        <v>223</v>
      </c>
      <c r="B155" s="7" t="s">
        <v>224</v>
      </c>
      <c r="C155" s="7" t="s">
        <v>431</v>
      </c>
      <c r="D155" s="7" t="s">
        <v>281</v>
      </c>
      <c r="E155" s="19">
        <v>0.0</v>
      </c>
      <c r="F155" s="19">
        <v>0.0</v>
      </c>
      <c r="G155" s="19">
        <v>0.0</v>
      </c>
      <c r="H155" s="6">
        <f>E155*PV_SESSION+F155*PV_CHALLENGE+G155*PV_WIN</f>
        <v>0</v>
      </c>
    </row>
    <row r="156" ht="15.75" customHeight="1">
      <c r="A156" s="7" t="s">
        <v>223</v>
      </c>
      <c r="B156" s="7" t="s">
        <v>224</v>
      </c>
      <c r="C156" s="7" t="s">
        <v>432</v>
      </c>
      <c r="D156" s="7" t="s">
        <v>281</v>
      </c>
      <c r="E156" s="19">
        <v>0.0</v>
      </c>
      <c r="F156" s="18">
        <v>1.0</v>
      </c>
      <c r="G156" s="19">
        <v>0.0</v>
      </c>
      <c r="H156" s="6">
        <f>E156*PV_SESSION+F156*PV_CHALLENGE+G156*PV_WIN</f>
        <v>20</v>
      </c>
    </row>
    <row r="157" ht="15.75" customHeight="1">
      <c r="A157" s="7" t="s">
        <v>225</v>
      </c>
      <c r="B157" s="7" t="s">
        <v>226</v>
      </c>
      <c r="C157" s="7" t="s">
        <v>433</v>
      </c>
      <c r="D157" s="7" t="s">
        <v>279</v>
      </c>
      <c r="E157" s="19">
        <v>0.0</v>
      </c>
      <c r="F157" s="19">
        <v>0.0</v>
      </c>
      <c r="G157" s="19">
        <v>0.0</v>
      </c>
      <c r="H157" s="6">
        <f>E157*PV_SESSION+F157*PV_CHALLENGE+G157*PV_WIN</f>
        <v>0</v>
      </c>
    </row>
    <row r="158" ht="15.75" customHeight="1">
      <c r="A158" s="7" t="s">
        <v>225</v>
      </c>
      <c r="B158" s="7" t="s">
        <v>226</v>
      </c>
      <c r="C158" s="7" t="s">
        <v>434</v>
      </c>
      <c r="D158" s="7" t="s">
        <v>281</v>
      </c>
      <c r="E158" s="19">
        <v>0.0</v>
      </c>
      <c r="F158" s="19">
        <v>0.0</v>
      </c>
      <c r="G158" s="19">
        <v>0.0</v>
      </c>
      <c r="H158" s="6">
        <f>E158*PV_SESSION+F158*PV_CHALLENGE+G158*PV_WIN</f>
        <v>0</v>
      </c>
    </row>
    <row r="159" ht="15.75" customHeight="1">
      <c r="A159" s="7" t="s">
        <v>227</v>
      </c>
      <c r="B159" s="7" t="s">
        <v>228</v>
      </c>
      <c r="C159" s="7" t="s">
        <v>435</v>
      </c>
      <c r="D159" s="7" t="s">
        <v>279</v>
      </c>
      <c r="E159" s="19">
        <v>0.0</v>
      </c>
      <c r="F159" s="19">
        <v>0.0</v>
      </c>
      <c r="G159" s="19">
        <v>0.0</v>
      </c>
      <c r="H159" s="6">
        <f>E159*PV_SESSION+F159*PV_CHALLENGE+G159*PV_WIN</f>
        <v>0</v>
      </c>
    </row>
    <row r="160" ht="15.75" customHeight="1">
      <c r="A160" s="7" t="s">
        <v>227</v>
      </c>
      <c r="B160" s="7" t="s">
        <v>228</v>
      </c>
      <c r="C160" s="7" t="s">
        <v>436</v>
      </c>
      <c r="D160" s="7" t="s">
        <v>281</v>
      </c>
      <c r="E160" s="19">
        <v>0.0</v>
      </c>
      <c r="F160" s="19">
        <v>0.0</v>
      </c>
      <c r="G160" s="19">
        <v>0.0</v>
      </c>
      <c r="H160" s="6">
        <f>E160*PV_SESSION+F160*PV_CHALLENGE+G160*PV_WIN</f>
        <v>0</v>
      </c>
    </row>
    <row r="161" ht="15.75" customHeight="1">
      <c r="A161" s="7" t="s">
        <v>229</v>
      </c>
      <c r="B161" s="17" t="s">
        <v>275</v>
      </c>
      <c r="C161" s="7" t="s">
        <v>437</v>
      </c>
      <c r="D161" s="7" t="s">
        <v>279</v>
      </c>
      <c r="E161" s="18">
        <v>2.0</v>
      </c>
      <c r="F161" s="19">
        <v>0.0</v>
      </c>
      <c r="G161" s="19">
        <v>0.0</v>
      </c>
      <c r="H161" s="6">
        <f>E161*PV_SESSION+F161*PV_CHALLENGE+G161*PV_WIN</f>
        <v>10</v>
      </c>
    </row>
    <row r="162" ht="15.75" customHeight="1">
      <c r="A162" s="7" t="s">
        <v>229</v>
      </c>
      <c r="B162" s="17" t="s">
        <v>275</v>
      </c>
      <c r="C162" s="7" t="s">
        <v>438</v>
      </c>
      <c r="D162" s="7" t="s">
        <v>281</v>
      </c>
      <c r="E162" s="18">
        <v>2.0</v>
      </c>
      <c r="F162" s="19">
        <v>0.0</v>
      </c>
      <c r="G162" s="19">
        <v>0.0</v>
      </c>
      <c r="H162" s="6">
        <f>E162*PV_SESSION+F162*PV_CHALLENGE+G162*PV_WIN</f>
        <v>10</v>
      </c>
    </row>
    <row r="163" ht="15.75" customHeight="1">
      <c r="A163" s="7" t="s">
        <v>229</v>
      </c>
      <c r="B163" s="17" t="s">
        <v>275</v>
      </c>
      <c r="C163" s="7" t="s">
        <v>439</v>
      </c>
      <c r="D163" s="7" t="s">
        <v>281</v>
      </c>
      <c r="E163" s="18">
        <v>2.0</v>
      </c>
      <c r="F163" s="19">
        <v>0.0</v>
      </c>
      <c r="G163" s="19">
        <v>0.0</v>
      </c>
      <c r="H163" s="6">
        <f>E163*PV_SESSION+F163*PV_CHALLENGE+G163*PV_WIN</f>
        <v>10</v>
      </c>
    </row>
    <row r="164" ht="15.75" customHeight="1">
      <c r="A164" s="7" t="s">
        <v>229</v>
      </c>
      <c r="B164" s="17" t="s">
        <v>275</v>
      </c>
      <c r="C164" s="7" t="s">
        <v>440</v>
      </c>
      <c r="D164" s="7" t="s">
        <v>281</v>
      </c>
      <c r="E164" s="18">
        <v>2.0</v>
      </c>
      <c r="F164" s="19">
        <v>0.0</v>
      </c>
      <c r="G164" s="19">
        <v>0.0</v>
      </c>
      <c r="H164" s="6">
        <f>E164*PV_SESSION+F164*PV_CHALLENGE+G164*PV_WIN</f>
        <v>10</v>
      </c>
    </row>
    <row r="165" ht="15.75" customHeight="1">
      <c r="A165" s="7" t="s">
        <v>231</v>
      </c>
      <c r="B165" s="7" t="s">
        <v>232</v>
      </c>
      <c r="C165" s="7" t="s">
        <v>441</v>
      </c>
      <c r="D165" s="7" t="s">
        <v>279</v>
      </c>
      <c r="E165" s="19">
        <v>0.0</v>
      </c>
      <c r="F165" s="19">
        <v>0.0</v>
      </c>
      <c r="G165" s="19">
        <v>0.0</v>
      </c>
      <c r="H165" s="6">
        <f>E165*PV_SESSION+F165*PV_CHALLENGE+G165*PV_WIN</f>
        <v>0</v>
      </c>
    </row>
    <row r="166" ht="15.75" customHeight="1">
      <c r="A166" s="7" t="s">
        <v>231</v>
      </c>
      <c r="B166" s="7" t="s">
        <v>232</v>
      </c>
      <c r="C166" s="7" t="s">
        <v>442</v>
      </c>
      <c r="D166" s="7" t="s">
        <v>281</v>
      </c>
      <c r="E166" s="19">
        <v>0.0</v>
      </c>
      <c r="F166" s="19">
        <v>0.0</v>
      </c>
      <c r="G166" s="19">
        <v>0.0</v>
      </c>
      <c r="H166" s="6">
        <f>E166*PV_SESSION+F166*PV_CHALLENGE+G166*PV_WIN</f>
        <v>0</v>
      </c>
    </row>
    <row r="167" ht="15.75" customHeight="1">
      <c r="A167" s="7" t="s">
        <v>233</v>
      </c>
      <c r="B167" s="7" t="s">
        <v>234</v>
      </c>
      <c r="C167" s="7" t="s">
        <v>443</v>
      </c>
      <c r="D167" s="7" t="s">
        <v>279</v>
      </c>
      <c r="E167" s="18">
        <v>4.0</v>
      </c>
      <c r="F167" s="19">
        <v>0.0</v>
      </c>
      <c r="G167" s="19">
        <v>0.0</v>
      </c>
      <c r="H167" s="6">
        <f>E167*PV_SESSION+F167*PV_CHALLENGE+G167*PV_WIN</f>
        <v>20</v>
      </c>
    </row>
    <row r="168" ht="15.75" customHeight="1">
      <c r="A168" s="7" t="s">
        <v>233</v>
      </c>
      <c r="B168" s="7" t="s">
        <v>234</v>
      </c>
      <c r="C168" s="7" t="s">
        <v>444</v>
      </c>
      <c r="D168" s="7" t="s">
        <v>281</v>
      </c>
      <c r="E168" s="18">
        <v>4.0</v>
      </c>
      <c r="F168" s="18">
        <v>1.0</v>
      </c>
      <c r="G168" s="19">
        <v>0.0</v>
      </c>
      <c r="H168" s="6">
        <f>E168*PV_SESSION+F168*PV_CHALLENGE+G168*PV_WIN</f>
        <v>40</v>
      </c>
    </row>
    <row r="169" ht="15.75" customHeight="1">
      <c r="A169" s="7" t="s">
        <v>235</v>
      </c>
      <c r="B169" s="7" t="s">
        <v>236</v>
      </c>
      <c r="C169" s="7" t="s">
        <v>445</v>
      </c>
      <c r="D169" s="7" t="s">
        <v>279</v>
      </c>
      <c r="E169" s="18">
        <v>4.0</v>
      </c>
      <c r="F169" s="18">
        <v>1.0</v>
      </c>
      <c r="G169" s="19">
        <v>0.0</v>
      </c>
      <c r="H169" s="6">
        <f>E169*PV_SESSION+F169*PV_CHALLENGE+G169*PV_WIN</f>
        <v>40</v>
      </c>
    </row>
    <row r="170" ht="15.75" customHeight="1">
      <c r="A170" s="7" t="s">
        <v>235</v>
      </c>
      <c r="B170" s="7" t="s">
        <v>236</v>
      </c>
      <c r="C170" s="7" t="s">
        <v>446</v>
      </c>
      <c r="D170" s="7" t="s">
        <v>281</v>
      </c>
      <c r="E170" s="18">
        <v>4.0</v>
      </c>
      <c r="F170" s="18">
        <v>1.0</v>
      </c>
      <c r="G170" s="19">
        <v>0.0</v>
      </c>
      <c r="H170" s="6">
        <f>E170*PV_SESSION+F170*PV_CHALLENGE+G170*PV_WIN</f>
        <v>40</v>
      </c>
    </row>
    <row r="171" ht="15.75" customHeight="1">
      <c r="A171" s="7" t="s">
        <v>237</v>
      </c>
      <c r="B171" s="7" t="s">
        <v>238</v>
      </c>
      <c r="C171" s="7" t="s">
        <v>447</v>
      </c>
      <c r="D171" s="7" t="s">
        <v>279</v>
      </c>
      <c r="E171" s="18">
        <v>4.0</v>
      </c>
      <c r="F171" s="18">
        <v>1.0</v>
      </c>
      <c r="G171" s="18">
        <v>1.0</v>
      </c>
      <c r="H171" s="6">
        <f>E171*PV_SESSION+F171*PV_CHALLENGE+G171*PV_WIN</f>
        <v>70</v>
      </c>
    </row>
    <row r="172" ht="15.75" customHeight="1">
      <c r="A172" s="7" t="s">
        <v>237</v>
      </c>
      <c r="B172" s="7" t="s">
        <v>238</v>
      </c>
      <c r="C172" s="7" t="s">
        <v>448</v>
      </c>
      <c r="D172" s="7" t="s">
        <v>281</v>
      </c>
      <c r="E172" s="18">
        <v>4.0</v>
      </c>
      <c r="F172" s="19">
        <v>0.0</v>
      </c>
      <c r="G172" s="19">
        <v>0.0</v>
      </c>
      <c r="H172" s="6">
        <f>E172*PV_SESSION+F172*PV_CHALLENGE+G172*PV_WIN</f>
        <v>20</v>
      </c>
    </row>
    <row r="173" ht="15.75" customHeight="1">
      <c r="A173" s="7" t="s">
        <v>239</v>
      </c>
      <c r="B173" s="7" t="s">
        <v>240</v>
      </c>
      <c r="C173" s="7" t="s">
        <v>449</v>
      </c>
      <c r="D173" s="7" t="s">
        <v>279</v>
      </c>
      <c r="E173" s="19">
        <v>0.0</v>
      </c>
      <c r="F173" s="19">
        <v>0.0</v>
      </c>
      <c r="G173" s="19">
        <v>0.0</v>
      </c>
      <c r="H173" s="6">
        <f>E173*PV_SESSION+F173*PV_CHALLENGE+G173*PV_WIN</f>
        <v>0</v>
      </c>
    </row>
    <row r="174" ht="15.75" customHeight="1">
      <c r="A174" s="7" t="s">
        <v>239</v>
      </c>
      <c r="B174" s="7" t="s">
        <v>240</v>
      </c>
      <c r="C174" s="7" t="s">
        <v>450</v>
      </c>
      <c r="D174" s="7" t="s">
        <v>281</v>
      </c>
      <c r="E174" s="19">
        <v>0.0</v>
      </c>
      <c r="F174" s="19">
        <v>0.0</v>
      </c>
      <c r="G174" s="19">
        <v>0.0</v>
      </c>
      <c r="H174" s="6">
        <f>E174*PV_SESSION+F174*PV_CHALLENGE+G174*PV_WIN</f>
        <v>0</v>
      </c>
    </row>
    <row r="175" ht="15.75" customHeight="1">
      <c r="A175" s="7" t="s">
        <v>241</v>
      </c>
      <c r="B175" s="7" t="s">
        <v>242</v>
      </c>
      <c r="C175" s="7" t="s">
        <v>301</v>
      </c>
      <c r="D175" s="7" t="s">
        <v>279</v>
      </c>
      <c r="E175" s="18">
        <v>4.0</v>
      </c>
      <c r="F175" s="19">
        <v>0.0</v>
      </c>
      <c r="G175" s="19">
        <v>0.0</v>
      </c>
      <c r="H175" s="6">
        <f>E175*PV_SESSION+F175*PV_CHALLENGE+G175*PV_WIN</f>
        <v>20</v>
      </c>
    </row>
    <row r="176" ht="15.75" customHeight="1">
      <c r="A176" s="7" t="s">
        <v>241</v>
      </c>
      <c r="B176" s="7" t="s">
        <v>242</v>
      </c>
      <c r="C176" s="7" t="s">
        <v>451</v>
      </c>
      <c r="D176" s="7" t="s">
        <v>281</v>
      </c>
      <c r="E176" s="18">
        <v>4.0</v>
      </c>
      <c r="F176" s="18">
        <v>1.0</v>
      </c>
      <c r="G176" s="19">
        <v>0.0</v>
      </c>
      <c r="H176" s="6">
        <f>E176*PV_SESSION+F176*PV_CHALLENGE+G176*PV_WIN</f>
        <v>40</v>
      </c>
    </row>
    <row r="177" ht="15.75" customHeight="1">
      <c r="A177" s="7" t="s">
        <v>243</v>
      </c>
      <c r="B177" s="7" t="s">
        <v>244</v>
      </c>
      <c r="C177" s="7" t="s">
        <v>452</v>
      </c>
      <c r="D177" s="7" t="s">
        <v>279</v>
      </c>
      <c r="E177" s="19">
        <v>0.0</v>
      </c>
      <c r="F177" s="19">
        <v>0.0</v>
      </c>
      <c r="G177" s="19">
        <v>0.0</v>
      </c>
      <c r="H177" s="6">
        <f>E177*PV_SESSION+F177*PV_CHALLENGE+G177*PV_WIN</f>
        <v>0</v>
      </c>
    </row>
    <row r="178" ht="15.75" customHeight="1">
      <c r="A178" s="7" t="s">
        <v>243</v>
      </c>
      <c r="B178" s="7" t="s">
        <v>244</v>
      </c>
      <c r="C178" s="7" t="s">
        <v>453</v>
      </c>
      <c r="D178" s="7" t="s">
        <v>281</v>
      </c>
      <c r="E178" s="19">
        <v>0.0</v>
      </c>
      <c r="F178" s="19">
        <v>0.0</v>
      </c>
      <c r="G178" s="19">
        <v>0.0</v>
      </c>
      <c r="H178" s="6">
        <f>E178*PV_SESSION+F178*PV_CHALLENGE+G178*PV_WIN</f>
        <v>0</v>
      </c>
    </row>
    <row r="179" ht="15.75" customHeight="1">
      <c r="A179" s="7" t="s">
        <v>245</v>
      </c>
      <c r="B179" s="7" t="s">
        <v>246</v>
      </c>
      <c r="C179" s="7" t="s">
        <v>294</v>
      </c>
      <c r="D179" s="7" t="s">
        <v>279</v>
      </c>
      <c r="E179" s="18">
        <v>4.0</v>
      </c>
      <c r="F179" s="18">
        <v>1.0</v>
      </c>
      <c r="G179" s="19">
        <v>0.0</v>
      </c>
      <c r="H179" s="6">
        <f>E179*PV_SESSION+F179*PV_CHALLENGE+G179*PV_WIN</f>
        <v>40</v>
      </c>
    </row>
    <row r="180" ht="15.75" customHeight="1">
      <c r="A180" s="7" t="s">
        <v>245</v>
      </c>
      <c r="B180" s="7" t="s">
        <v>246</v>
      </c>
      <c r="C180" s="7" t="s">
        <v>454</v>
      </c>
      <c r="D180" s="7" t="s">
        <v>281</v>
      </c>
      <c r="E180" s="18">
        <v>4.0</v>
      </c>
      <c r="F180" s="19">
        <v>0.0</v>
      </c>
      <c r="G180" s="19">
        <v>0.0</v>
      </c>
      <c r="H180" s="6">
        <f>E180*PV_SESSION+F180*PV_CHALLENGE+G180*PV_WIN</f>
        <v>20</v>
      </c>
    </row>
    <row r="181" ht="15.75" customHeight="1">
      <c r="A181" s="7" t="s">
        <v>245</v>
      </c>
      <c r="B181" s="7" t="s">
        <v>246</v>
      </c>
      <c r="C181" s="7" t="s">
        <v>455</v>
      </c>
      <c r="D181" s="7" t="s">
        <v>281</v>
      </c>
      <c r="E181" s="18">
        <v>4.0</v>
      </c>
      <c r="F181" s="18">
        <v>1.0</v>
      </c>
      <c r="G181" s="19">
        <v>0.0</v>
      </c>
      <c r="H181" s="6">
        <f>E181*PV_SESSION+F181*PV_CHALLENGE+G181*PV_WIN</f>
        <v>40</v>
      </c>
    </row>
    <row r="182" ht="15.75" customHeight="1">
      <c r="A182" s="7" t="s">
        <v>245</v>
      </c>
      <c r="B182" s="7" t="s">
        <v>246</v>
      </c>
      <c r="C182" s="7" t="s">
        <v>456</v>
      </c>
      <c r="D182" s="7" t="s">
        <v>281</v>
      </c>
      <c r="E182" s="18">
        <v>4.0</v>
      </c>
      <c r="F182" s="18">
        <v>1.0</v>
      </c>
      <c r="G182" s="19">
        <v>0.0</v>
      </c>
      <c r="H182" s="6">
        <f>E182*PV_SESSION+F182*PV_CHALLENGE+G182*PV_WIN</f>
        <v>40</v>
      </c>
    </row>
    <row r="183" ht="15.75" customHeight="1">
      <c r="A183" s="7" t="s">
        <v>247</v>
      </c>
      <c r="B183" s="7" t="s">
        <v>248</v>
      </c>
      <c r="C183" s="7" t="s">
        <v>457</v>
      </c>
      <c r="D183" s="7" t="s">
        <v>279</v>
      </c>
      <c r="E183" s="19">
        <v>0.0</v>
      </c>
      <c r="F183" s="19">
        <v>0.0</v>
      </c>
      <c r="G183" s="19">
        <v>0.0</v>
      </c>
      <c r="H183" s="6">
        <f>E183*PV_SESSION+F183*PV_CHALLENGE+G183*PV_WIN</f>
        <v>0</v>
      </c>
    </row>
    <row r="184" ht="15.75" customHeight="1">
      <c r="A184" s="7" t="s">
        <v>249</v>
      </c>
      <c r="B184" s="7" t="s">
        <v>250</v>
      </c>
      <c r="C184" s="7" t="s">
        <v>458</v>
      </c>
      <c r="D184" s="7" t="s">
        <v>279</v>
      </c>
      <c r="E184" s="18">
        <v>4.0</v>
      </c>
      <c r="F184" s="18">
        <v>1.0</v>
      </c>
      <c r="G184" s="19">
        <v>0.0</v>
      </c>
      <c r="H184" s="6">
        <f>E184*PV_SESSION+F184*PV_CHALLENGE+G184*PV_WIN</f>
        <v>40</v>
      </c>
    </row>
    <row r="185" ht="15.75" customHeight="1">
      <c r="A185" s="7" t="s">
        <v>249</v>
      </c>
      <c r="B185" s="7" t="s">
        <v>250</v>
      </c>
      <c r="C185" s="7" t="s">
        <v>459</v>
      </c>
      <c r="D185" s="7" t="s">
        <v>281</v>
      </c>
      <c r="E185" s="18">
        <v>4.0</v>
      </c>
      <c r="F185" s="19">
        <v>0.0</v>
      </c>
      <c r="G185" s="19">
        <v>0.0</v>
      </c>
      <c r="H185" s="6">
        <f>E185*PV_SESSION+F185*PV_CHALLENGE+G185*PV_WIN</f>
        <v>20</v>
      </c>
    </row>
    <row r="186" ht="15.75" customHeight="1">
      <c r="A186" s="7" t="s">
        <v>249</v>
      </c>
      <c r="B186" s="7" t="s">
        <v>250</v>
      </c>
      <c r="C186" s="7" t="s">
        <v>460</v>
      </c>
      <c r="D186" s="7" t="s">
        <v>281</v>
      </c>
      <c r="E186" s="18">
        <v>4.0</v>
      </c>
      <c r="F186" s="18">
        <v>1.0</v>
      </c>
      <c r="G186" s="19">
        <v>0.0</v>
      </c>
      <c r="H186" s="6">
        <f>E186*PV_SESSION+F186*PV_CHALLENGE+G186*PV_WIN</f>
        <v>40</v>
      </c>
    </row>
    <row r="187" ht="15.75" customHeight="1">
      <c r="A187" s="7" t="s">
        <v>249</v>
      </c>
      <c r="B187" s="7" t="s">
        <v>250</v>
      </c>
      <c r="C187" s="7" t="s">
        <v>461</v>
      </c>
      <c r="D187" s="7" t="s">
        <v>281</v>
      </c>
      <c r="E187" s="18">
        <v>4.0</v>
      </c>
      <c r="F187" s="19">
        <v>0.0</v>
      </c>
      <c r="G187" s="19">
        <v>0.0</v>
      </c>
      <c r="H187" s="6">
        <f>E187*PV_SESSION+F187*PV_CHALLENGE+G187*PV_WIN</f>
        <v>20</v>
      </c>
    </row>
    <row r="188" ht="15.75" customHeight="1">
      <c r="A188" s="7" t="s">
        <v>251</v>
      </c>
      <c r="B188" s="7" t="s">
        <v>252</v>
      </c>
      <c r="C188" s="7" t="s">
        <v>462</v>
      </c>
      <c r="D188" s="7" t="s">
        <v>279</v>
      </c>
      <c r="E188" s="19">
        <v>0.0</v>
      </c>
      <c r="F188" s="19">
        <v>0.0</v>
      </c>
      <c r="G188" s="19">
        <v>0.0</v>
      </c>
      <c r="H188" s="6">
        <f>E188*PV_SESSION+F188*PV_CHALLENGE+G188*PV_WIN</f>
        <v>0</v>
      </c>
    </row>
    <row r="189" ht="15.75" customHeight="1">
      <c r="A189" s="7" t="s">
        <v>251</v>
      </c>
      <c r="B189" s="7" t="s">
        <v>252</v>
      </c>
      <c r="C189" s="7" t="s">
        <v>463</v>
      </c>
      <c r="D189" s="7" t="s">
        <v>281</v>
      </c>
      <c r="E189" s="19">
        <v>0.0</v>
      </c>
      <c r="F189" s="19">
        <v>0.0</v>
      </c>
      <c r="G189" s="19">
        <v>0.0</v>
      </c>
      <c r="H189" s="6">
        <f>E189*PV_SESSION+F189*PV_CHALLENGE+G189*PV_WIN</f>
        <v>0</v>
      </c>
    </row>
    <row r="190" ht="15.75" customHeight="1">
      <c r="A190" s="7" t="s">
        <v>253</v>
      </c>
      <c r="B190" s="7" t="s">
        <v>254</v>
      </c>
      <c r="C190" s="7" t="s">
        <v>464</v>
      </c>
      <c r="D190" s="7" t="s">
        <v>279</v>
      </c>
      <c r="E190" s="18">
        <v>4.0</v>
      </c>
      <c r="F190" s="18">
        <v>1.0</v>
      </c>
      <c r="G190" s="19">
        <v>0.0</v>
      </c>
      <c r="H190" s="6">
        <f>E190*PV_SESSION+F190*PV_CHALLENGE+G190*PV_WIN</f>
        <v>40</v>
      </c>
    </row>
    <row r="191" ht="15.75" customHeight="1">
      <c r="A191" s="7" t="s">
        <v>253</v>
      </c>
      <c r="B191" s="7" t="s">
        <v>254</v>
      </c>
      <c r="C191" s="7" t="s">
        <v>465</v>
      </c>
      <c r="D191" s="7" t="s">
        <v>281</v>
      </c>
      <c r="E191" s="18">
        <v>4.0</v>
      </c>
      <c r="F191" s="18">
        <v>1.0</v>
      </c>
      <c r="G191" s="19">
        <v>0.0</v>
      </c>
      <c r="H191" s="6">
        <f>E191*PV_SESSION+F191*PV_CHALLENGE+G191*PV_WIN</f>
        <v>40</v>
      </c>
    </row>
    <row r="192" ht="15.75" customHeight="1">
      <c r="A192" s="7" t="s">
        <v>253</v>
      </c>
      <c r="B192" s="7" t="s">
        <v>254</v>
      </c>
      <c r="C192" s="7" t="s">
        <v>466</v>
      </c>
      <c r="D192" s="7" t="s">
        <v>281</v>
      </c>
      <c r="E192" s="18">
        <v>4.0</v>
      </c>
      <c r="F192" s="18">
        <v>1.0</v>
      </c>
      <c r="G192" s="19">
        <v>0.0</v>
      </c>
      <c r="H192" s="6">
        <f>E192*PV_SESSION+F192*PV_CHALLENGE+G192*PV_WIN</f>
        <v>40</v>
      </c>
    </row>
    <row r="193" ht="15.75" customHeight="1">
      <c r="A193" s="7" t="s">
        <v>256</v>
      </c>
      <c r="B193" s="7" t="s">
        <v>257</v>
      </c>
      <c r="C193" s="7" t="s">
        <v>467</v>
      </c>
      <c r="D193" s="7" t="s">
        <v>279</v>
      </c>
      <c r="E193" s="19">
        <v>0.0</v>
      </c>
      <c r="F193" s="18">
        <v>1.0</v>
      </c>
      <c r="G193" s="19">
        <v>0.0</v>
      </c>
      <c r="H193" s="6">
        <f>E193*PV_SESSION+F193*PV_CHALLENGE+G193*PV_WIN</f>
        <v>20</v>
      </c>
    </row>
    <row r="194" ht="15.75" customHeight="1">
      <c r="A194" s="7" t="s">
        <v>256</v>
      </c>
      <c r="B194" s="7" t="s">
        <v>257</v>
      </c>
      <c r="C194" s="7" t="s">
        <v>468</v>
      </c>
      <c r="D194" s="7" t="s">
        <v>281</v>
      </c>
      <c r="E194" s="19">
        <v>0.0</v>
      </c>
      <c r="F194" s="19">
        <v>0.0</v>
      </c>
      <c r="G194" s="19">
        <v>0.0</v>
      </c>
      <c r="H194" s="6">
        <f>E194*PV_SESSION+F194*PV_CHALLENGE+G194*PV_WIN</f>
        <v>0</v>
      </c>
    </row>
    <row r="195" ht="15.75" customHeight="1">
      <c r="A195" s="7" t="s">
        <v>258</v>
      </c>
      <c r="B195" s="7" t="s">
        <v>259</v>
      </c>
      <c r="C195" s="7" t="s">
        <v>469</v>
      </c>
      <c r="D195" s="7" t="s">
        <v>279</v>
      </c>
      <c r="E195" s="19">
        <v>0.0</v>
      </c>
      <c r="F195" s="19">
        <v>0.0</v>
      </c>
      <c r="G195" s="19">
        <v>0.0</v>
      </c>
      <c r="H195" s="6">
        <f>E195*PV_SESSION+F195*PV_CHALLENGE+G195*PV_WIN</f>
        <v>0</v>
      </c>
    </row>
    <row r="196" ht="15.75" customHeight="1">
      <c r="A196" s="7" t="s">
        <v>258</v>
      </c>
      <c r="B196" s="7" t="s">
        <v>259</v>
      </c>
      <c r="C196" s="7" t="s">
        <v>470</v>
      </c>
      <c r="D196" s="7" t="s">
        <v>281</v>
      </c>
      <c r="E196" s="19">
        <v>0.0</v>
      </c>
      <c r="F196" s="19">
        <v>0.0</v>
      </c>
      <c r="G196" s="19">
        <v>0.0</v>
      </c>
      <c r="H196" s="6">
        <f>E196*PV_SESSION+F196*PV_CHALLENGE+G196*PV_WIN</f>
        <v>0</v>
      </c>
    </row>
    <row r="197" ht="15.75" customHeight="1">
      <c r="A197" s="7" t="s">
        <v>258</v>
      </c>
      <c r="B197" s="7" t="s">
        <v>259</v>
      </c>
      <c r="C197" s="7" t="s">
        <v>471</v>
      </c>
      <c r="D197" s="7" t="s">
        <v>281</v>
      </c>
      <c r="E197" s="19">
        <v>0.0</v>
      </c>
      <c r="F197" s="19">
        <v>0.0</v>
      </c>
      <c r="G197" s="19">
        <v>0.0</v>
      </c>
      <c r="H197" s="6">
        <f>E197*PV_SESSION+F197*PV_CHALLENGE+G197*PV_WIN</f>
        <v>0</v>
      </c>
    </row>
    <row r="198" ht="15.75" customHeight="1">
      <c r="A198" s="7" t="s">
        <v>258</v>
      </c>
      <c r="B198" s="7" t="s">
        <v>259</v>
      </c>
      <c r="C198" s="7" t="s">
        <v>472</v>
      </c>
      <c r="D198" s="7" t="s">
        <v>281</v>
      </c>
      <c r="E198" s="19">
        <v>0.0</v>
      </c>
      <c r="F198" s="19">
        <v>0.0</v>
      </c>
      <c r="G198" s="19">
        <v>0.0</v>
      </c>
      <c r="H198" s="6">
        <f>E198*PV_SESSION+F198*PV_CHALLENGE+G198*PV_WIN</f>
        <v>0</v>
      </c>
    </row>
    <row r="199" ht="15.75" customHeight="1">
      <c r="A199" s="7" t="s">
        <v>260</v>
      </c>
      <c r="B199" s="7" t="s">
        <v>261</v>
      </c>
      <c r="C199" s="7" t="s">
        <v>473</v>
      </c>
      <c r="D199" s="7" t="s">
        <v>279</v>
      </c>
      <c r="E199" s="19">
        <v>0.0</v>
      </c>
      <c r="F199" s="19">
        <v>0.0</v>
      </c>
      <c r="G199" s="19">
        <v>0.0</v>
      </c>
      <c r="H199" s="6">
        <f>E199*PV_SESSION+F199*PV_CHALLENGE+G199*PV_WIN</f>
        <v>0</v>
      </c>
    </row>
    <row r="200" ht="15.75" customHeight="1">
      <c r="A200" s="7" t="s">
        <v>260</v>
      </c>
      <c r="B200" s="7" t="s">
        <v>261</v>
      </c>
      <c r="C200" s="7" t="s">
        <v>474</v>
      </c>
      <c r="D200" s="7" t="s">
        <v>281</v>
      </c>
      <c r="E200" s="18">
        <v>3.0</v>
      </c>
      <c r="F200" s="18">
        <v>1.0</v>
      </c>
      <c r="G200" s="19">
        <v>0.0</v>
      </c>
      <c r="H200" s="6">
        <f>E200*PV_SESSION+F200*PV_CHALLENGE+G200*PV_WIN</f>
        <v>35</v>
      </c>
    </row>
    <row r="201" ht="15.75" customHeight="1">
      <c r="A201" s="7" t="s">
        <v>262</v>
      </c>
      <c r="B201" s="7" t="s">
        <v>263</v>
      </c>
      <c r="C201" s="7" t="s">
        <v>475</v>
      </c>
      <c r="D201" s="7" t="s">
        <v>279</v>
      </c>
      <c r="E201" s="19">
        <v>0.0</v>
      </c>
      <c r="F201" s="19">
        <v>0.0</v>
      </c>
      <c r="G201" s="19">
        <v>0.0</v>
      </c>
      <c r="H201" s="6">
        <f>E201*PV_SESSION+F201*PV_CHALLENGE+G201*PV_WIN</f>
        <v>0</v>
      </c>
    </row>
    <row r="202" ht="15.75" customHeight="1">
      <c r="A202" s="7" t="s">
        <v>262</v>
      </c>
      <c r="B202" s="7" t="s">
        <v>263</v>
      </c>
      <c r="C202" s="7" t="s">
        <v>476</v>
      </c>
      <c r="D202" s="7" t="s">
        <v>281</v>
      </c>
      <c r="E202" s="19">
        <v>0.0</v>
      </c>
      <c r="F202" s="19">
        <v>0.0</v>
      </c>
      <c r="G202" s="19">
        <v>0.0</v>
      </c>
      <c r="H202" s="6">
        <f>E202*PV_SESSION+F202*PV_CHALLENGE+G202*PV_WIN</f>
        <v>0</v>
      </c>
    </row>
    <row r="203" ht="15.75" customHeight="1">
      <c r="A203" s="7" t="s">
        <v>262</v>
      </c>
      <c r="B203" s="7" t="s">
        <v>263</v>
      </c>
      <c r="C203" s="7" t="s">
        <v>477</v>
      </c>
      <c r="D203" s="7" t="s">
        <v>281</v>
      </c>
      <c r="E203" s="19">
        <v>0.0</v>
      </c>
      <c r="F203" s="19">
        <v>0.0</v>
      </c>
      <c r="G203" s="19">
        <v>0.0</v>
      </c>
      <c r="H203" s="6">
        <f>E203*PV_SESSION+F203*PV_CHALLENGE+G203*PV_WIN</f>
        <v>0</v>
      </c>
    </row>
    <row r="204" ht="15.75" customHeight="1">
      <c r="A204" s="7" t="s">
        <v>264</v>
      </c>
      <c r="B204" s="7" t="s">
        <v>265</v>
      </c>
      <c r="C204" s="7" t="s">
        <v>478</v>
      </c>
      <c r="D204" s="7" t="s">
        <v>279</v>
      </c>
      <c r="E204" s="19">
        <v>0.0</v>
      </c>
      <c r="F204" s="19">
        <v>0.0</v>
      </c>
      <c r="G204" s="19">
        <v>0.0</v>
      </c>
      <c r="H204" s="6">
        <f>E204*PV_SESSION+F204*PV_CHALLENGE+G204*PV_WIN</f>
        <v>0</v>
      </c>
    </row>
    <row r="205" ht="15.75" customHeight="1">
      <c r="A205" s="7" t="s">
        <v>264</v>
      </c>
      <c r="B205" s="7" t="s">
        <v>265</v>
      </c>
      <c r="C205" s="7" t="s">
        <v>479</v>
      </c>
      <c r="D205" s="7" t="s">
        <v>281</v>
      </c>
      <c r="E205" s="19">
        <v>0.0</v>
      </c>
      <c r="F205" s="19">
        <v>0.0</v>
      </c>
      <c r="G205" s="19">
        <v>0.0</v>
      </c>
      <c r="H205" s="6">
        <f>E205*PV_SESSION+F205*PV_CHALLENGE+G205*PV_WIN</f>
        <v>0</v>
      </c>
    </row>
    <row r="206" ht="15.75" customHeight="1">
      <c r="A206" s="7" t="s">
        <v>266</v>
      </c>
      <c r="B206" s="7" t="s">
        <v>267</v>
      </c>
      <c r="C206" s="7" t="s">
        <v>480</v>
      </c>
      <c r="D206" s="7" t="s">
        <v>279</v>
      </c>
      <c r="E206" s="18">
        <v>4.0</v>
      </c>
      <c r="F206" s="18">
        <v>1.0</v>
      </c>
      <c r="G206" s="19">
        <v>0.0</v>
      </c>
      <c r="H206" s="6">
        <f>E206*PV_SESSION+F206*PV_CHALLENGE+G206*PV_WIN</f>
        <v>40</v>
      </c>
    </row>
    <row r="207" ht="15.75" customHeight="1">
      <c r="A207" s="7" t="s">
        <v>266</v>
      </c>
      <c r="B207" s="7" t="s">
        <v>267</v>
      </c>
      <c r="C207" s="7" t="s">
        <v>481</v>
      </c>
      <c r="D207" s="7" t="s">
        <v>281</v>
      </c>
      <c r="E207" s="18">
        <v>4.0</v>
      </c>
      <c r="F207" s="18">
        <v>1.0</v>
      </c>
      <c r="G207" s="19">
        <v>0.0</v>
      </c>
      <c r="H207" s="6">
        <f>E207*PV_SESSION+F207*PV_CHALLENGE+G207*PV_WIN</f>
        <v>40</v>
      </c>
    </row>
    <row r="208" ht="15.75" customHeight="1">
      <c r="A208" s="7" t="s">
        <v>266</v>
      </c>
      <c r="B208" s="7" t="s">
        <v>267</v>
      </c>
      <c r="C208" s="7" t="s">
        <v>444</v>
      </c>
      <c r="D208" s="7" t="s">
        <v>281</v>
      </c>
      <c r="E208" s="18">
        <v>4.0</v>
      </c>
      <c r="F208" s="19">
        <v>0.0</v>
      </c>
      <c r="G208" s="19">
        <v>0.0</v>
      </c>
      <c r="H208" s="6">
        <f>E208*PV_SESSION+F208*PV_CHALLENGE+G208*PV_WIN</f>
        <v>20</v>
      </c>
    </row>
    <row r="209" ht="15.75" customHeight="1">
      <c r="A209" s="7" t="s">
        <v>266</v>
      </c>
      <c r="B209" s="7" t="s">
        <v>267</v>
      </c>
      <c r="C209" s="7" t="s">
        <v>464</v>
      </c>
      <c r="D209" s="7" t="s">
        <v>281</v>
      </c>
      <c r="E209" s="18">
        <v>4.0</v>
      </c>
      <c r="F209" s="19">
        <v>0.0</v>
      </c>
      <c r="G209" s="19">
        <v>0.0</v>
      </c>
      <c r="H209" s="6">
        <f>E209*PV_SESSION+F209*PV_CHALLENGE+G209*PV_WIN</f>
        <v>20</v>
      </c>
    </row>
    <row r="210" ht="15.75" customHeight="1">
      <c r="A210" s="7" t="s">
        <v>268</v>
      </c>
      <c r="B210" s="7" t="s">
        <v>269</v>
      </c>
      <c r="C210" s="7" t="s">
        <v>482</v>
      </c>
      <c r="D210" s="7" t="s">
        <v>279</v>
      </c>
      <c r="E210" s="19">
        <v>0.0</v>
      </c>
      <c r="F210" s="19">
        <v>0.0</v>
      </c>
      <c r="G210" s="19">
        <v>0.0</v>
      </c>
      <c r="H210" s="6">
        <f>E210*PV_SESSION+F210*PV_CHALLENGE+G210*PV_WIN</f>
        <v>0</v>
      </c>
    </row>
    <row r="211" ht="15.75" customHeight="1">
      <c r="A211" s="7" t="s">
        <v>268</v>
      </c>
      <c r="B211" s="7" t="s">
        <v>269</v>
      </c>
      <c r="C211" s="7" t="s">
        <v>483</v>
      </c>
      <c r="D211" s="7" t="s">
        <v>281</v>
      </c>
      <c r="E211" s="19">
        <v>0.0</v>
      </c>
      <c r="F211" s="19">
        <v>0.0</v>
      </c>
      <c r="G211" s="19">
        <v>0.0</v>
      </c>
      <c r="H211" s="6">
        <f>E211*PV_SESSION+F211*PV_CHALLENGE+G211*PV_WIN</f>
        <v>0</v>
      </c>
    </row>
    <row r="212" ht="15.75" customHeight="1">
      <c r="A212" s="7" t="s">
        <v>270</v>
      </c>
      <c r="B212" s="7" t="s">
        <v>271</v>
      </c>
      <c r="C212" s="7" t="s">
        <v>484</v>
      </c>
      <c r="D212" s="7" t="s">
        <v>279</v>
      </c>
      <c r="E212" s="18">
        <v>4.0</v>
      </c>
      <c r="F212" s="19">
        <v>0.0</v>
      </c>
      <c r="G212" s="19">
        <v>0.0</v>
      </c>
      <c r="H212" s="6">
        <f>E212*PV_SESSION+F212*PV_CHALLENGE+G212*PV_WIN</f>
        <v>20</v>
      </c>
    </row>
    <row r="213" ht="15.75" customHeight="1">
      <c r="A213" s="7" t="s">
        <v>270</v>
      </c>
      <c r="B213" s="7" t="s">
        <v>271</v>
      </c>
      <c r="C213" s="7" t="s">
        <v>485</v>
      </c>
      <c r="D213" s="7" t="s">
        <v>281</v>
      </c>
      <c r="E213" s="18">
        <v>4.0</v>
      </c>
      <c r="F213" s="18">
        <v>1.0</v>
      </c>
      <c r="G213" s="19">
        <v>0.0</v>
      </c>
      <c r="H213" s="6">
        <f>E213*PV_SESSION+F213*PV_CHALLENGE+G213*PV_WIN</f>
        <v>40</v>
      </c>
    </row>
    <row r="214" ht="15.75" customHeight="1">
      <c r="A214" s="7" t="s">
        <v>272</v>
      </c>
      <c r="B214" s="7" t="s">
        <v>273</v>
      </c>
      <c r="C214" s="7" t="s">
        <v>486</v>
      </c>
      <c r="D214" s="7" t="s">
        <v>279</v>
      </c>
      <c r="E214" s="18">
        <v>2.0</v>
      </c>
      <c r="F214" s="18">
        <v>1.0</v>
      </c>
      <c r="G214" s="19">
        <v>0.0</v>
      </c>
      <c r="H214" s="6">
        <f>E214*PV_SESSION+F214*PV_CHALLENGE+G214*PV_WIN</f>
        <v>30</v>
      </c>
    </row>
    <row r="215" ht="15.75" customHeight="1">
      <c r="A215" s="7" t="s">
        <v>272</v>
      </c>
      <c r="B215" s="7" t="s">
        <v>273</v>
      </c>
      <c r="C215" s="7" t="s">
        <v>487</v>
      </c>
      <c r="D215" s="7" t="s">
        <v>281</v>
      </c>
      <c r="E215" s="18">
        <v>2.0</v>
      </c>
      <c r="F215" s="19">
        <v>0.0</v>
      </c>
      <c r="G215" s="19">
        <v>0.0</v>
      </c>
      <c r="H215" s="6">
        <f>E215*PV_SESSION+F215*PV_CHALLENGE+G215*PV_WIN</f>
        <v>10</v>
      </c>
    </row>
    <row r="216" ht="15.75" customHeight="1">
      <c r="A216" s="7" t="s">
        <v>272</v>
      </c>
      <c r="B216" s="7" t="s">
        <v>273</v>
      </c>
      <c r="C216" s="7" t="s">
        <v>488</v>
      </c>
      <c r="D216" s="7" t="s">
        <v>281</v>
      </c>
      <c r="E216" s="18">
        <v>2.0</v>
      </c>
      <c r="F216" s="18">
        <v>1.0</v>
      </c>
      <c r="G216" s="19">
        <v>0.0</v>
      </c>
      <c r="H216" s="6">
        <f>E216*PV_SESSION+F216*PV_CHALLENGE+G216*PV_WIN</f>
        <v>30</v>
      </c>
    </row>
    <row r="217" ht="15.75" customHeight="1">
      <c r="A217" s="7" t="s">
        <v>272</v>
      </c>
      <c r="B217" s="7" t="s">
        <v>273</v>
      </c>
      <c r="C217" s="7" t="s">
        <v>489</v>
      </c>
      <c r="D217" s="7" t="s">
        <v>281</v>
      </c>
      <c r="E217" s="18">
        <v>1.0</v>
      </c>
      <c r="F217" s="19">
        <v>0.0</v>
      </c>
      <c r="G217" s="19">
        <v>0.0</v>
      </c>
      <c r="H217" s="6">
        <f>E217*PV_SESSION+F217*PV_CHALLENGE+G217*PV_WIN</f>
        <v>5</v>
      </c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24.0"/>
    <col customWidth="1" min="4" max="4" width="14.0"/>
    <col customWidth="1" min="5" max="5" width="16.0"/>
    <col customWidth="1" min="6" max="6" width="22.0"/>
    <col customWidth="1" min="7" max="7" width="18.0"/>
    <col customWidth="1" min="8" max="8" width="16.0"/>
    <col customWidth="1" min="9" max="26" width="8.71"/>
  </cols>
  <sheetData>
    <row r="1">
      <c r="A1" s="20" t="s">
        <v>494</v>
      </c>
      <c r="B1" s="3" t="s">
        <v>70</v>
      </c>
      <c r="C1" s="3" t="s">
        <v>276</v>
      </c>
      <c r="D1" s="3" t="s">
        <v>277</v>
      </c>
      <c r="E1" s="3" t="s">
        <v>490</v>
      </c>
      <c r="F1" s="3" t="s">
        <v>491</v>
      </c>
      <c r="G1" s="3" t="s">
        <v>492</v>
      </c>
      <c r="H1" s="3" t="s">
        <v>493</v>
      </c>
    </row>
    <row r="2">
      <c r="A2" s="7" t="s">
        <v>79</v>
      </c>
      <c r="B2" s="7" t="s">
        <v>80</v>
      </c>
      <c r="C2" s="7" t="s">
        <v>278</v>
      </c>
      <c r="D2" s="7" t="s">
        <v>279</v>
      </c>
      <c r="E2" s="19">
        <v>0.0</v>
      </c>
      <c r="F2" s="18">
        <v>1.0</v>
      </c>
      <c r="G2" s="18">
        <v>1.0</v>
      </c>
      <c r="H2" s="6">
        <f>E2*PV_SESSION+F2*PV_CHALLENGE+G2*PV_WIN</f>
        <v>50</v>
      </c>
    </row>
    <row r="3">
      <c r="A3" s="7" t="s">
        <v>79</v>
      </c>
      <c r="B3" s="7" t="s">
        <v>80</v>
      </c>
      <c r="C3" s="7" t="s">
        <v>280</v>
      </c>
      <c r="D3" s="7" t="s">
        <v>281</v>
      </c>
      <c r="E3" s="19">
        <v>0.0</v>
      </c>
      <c r="F3" s="18">
        <v>1.0</v>
      </c>
      <c r="G3" s="19">
        <v>0.0</v>
      </c>
      <c r="H3" s="6">
        <f>E3*PV_SESSION+F3*PV_CHALLENGE+G3*PV_WIN</f>
        <v>20</v>
      </c>
    </row>
    <row r="4">
      <c r="A4" s="7" t="s">
        <v>79</v>
      </c>
      <c r="B4" s="7" t="s">
        <v>80</v>
      </c>
      <c r="C4" s="7" t="s">
        <v>282</v>
      </c>
      <c r="D4" s="7" t="s">
        <v>281</v>
      </c>
      <c r="E4" s="19">
        <v>0.0</v>
      </c>
      <c r="F4" s="18">
        <v>1.0</v>
      </c>
      <c r="G4" s="19">
        <v>0.0</v>
      </c>
      <c r="H4" s="6">
        <f>E4*PV_SESSION+F4*PV_CHALLENGE+G4*PV_WIN</f>
        <v>20</v>
      </c>
    </row>
    <row r="5">
      <c r="A5" s="7" t="s">
        <v>79</v>
      </c>
      <c r="B5" s="7" t="s">
        <v>80</v>
      </c>
      <c r="C5" s="7" t="s">
        <v>283</v>
      </c>
      <c r="D5" s="7" t="s">
        <v>281</v>
      </c>
      <c r="E5" s="19">
        <v>0.0</v>
      </c>
      <c r="F5" s="18">
        <v>1.0</v>
      </c>
      <c r="G5" s="18">
        <v>1.0</v>
      </c>
      <c r="H5" s="6">
        <f>E5*PV_SESSION+F5*PV_CHALLENGE+G5*PV_WIN</f>
        <v>50</v>
      </c>
    </row>
    <row r="6">
      <c r="A6" s="7" t="s">
        <v>82</v>
      </c>
      <c r="B6" s="7" t="s">
        <v>83</v>
      </c>
      <c r="C6" s="7" t="s">
        <v>284</v>
      </c>
      <c r="D6" s="7" t="s">
        <v>279</v>
      </c>
      <c r="E6" s="19">
        <v>0.0</v>
      </c>
      <c r="F6" s="18">
        <v>1.0</v>
      </c>
      <c r="G6" s="19">
        <v>0.0</v>
      </c>
      <c r="H6" s="6">
        <f>E6*PV_SESSION+F6*PV_CHALLENGE+G6*PV_WIN</f>
        <v>20</v>
      </c>
    </row>
    <row r="7">
      <c r="A7" s="7" t="s">
        <v>82</v>
      </c>
      <c r="B7" s="7" t="s">
        <v>83</v>
      </c>
      <c r="C7" s="7" t="s">
        <v>285</v>
      </c>
      <c r="D7" s="7" t="s">
        <v>281</v>
      </c>
      <c r="E7" s="19">
        <v>0.0</v>
      </c>
      <c r="F7" s="18">
        <v>1.0</v>
      </c>
      <c r="G7" s="19">
        <v>0.0</v>
      </c>
      <c r="H7" s="6">
        <f>E7*PV_SESSION+F7*PV_CHALLENGE+G7*PV_WIN</f>
        <v>20</v>
      </c>
    </row>
    <row r="8">
      <c r="A8" s="7" t="s">
        <v>84</v>
      </c>
      <c r="B8" s="7" t="s">
        <v>85</v>
      </c>
      <c r="C8" s="7" t="s">
        <v>286</v>
      </c>
      <c r="D8" s="7" t="s">
        <v>279</v>
      </c>
      <c r="E8" s="19">
        <v>0.0</v>
      </c>
      <c r="F8" s="19">
        <v>0.0</v>
      </c>
      <c r="G8" s="19">
        <v>0.0</v>
      </c>
      <c r="H8" s="6">
        <f>E8*PV_SESSION+F8*PV_CHALLENGE+G8*PV_WIN</f>
        <v>0</v>
      </c>
    </row>
    <row r="9">
      <c r="A9" s="7" t="s">
        <v>84</v>
      </c>
      <c r="B9" s="7" t="s">
        <v>85</v>
      </c>
      <c r="C9" s="7" t="s">
        <v>287</v>
      </c>
      <c r="D9" s="7" t="s">
        <v>281</v>
      </c>
      <c r="E9" s="19">
        <v>0.0</v>
      </c>
      <c r="F9" s="19">
        <v>0.0</v>
      </c>
      <c r="G9" s="19">
        <v>0.0</v>
      </c>
      <c r="H9" s="6">
        <f>E9*PV_SESSION+F9*PV_CHALLENGE+G9*PV_WIN</f>
        <v>0</v>
      </c>
    </row>
    <row r="10">
      <c r="A10" s="7" t="s">
        <v>87</v>
      </c>
      <c r="B10" s="7" t="s">
        <v>88</v>
      </c>
      <c r="C10" s="7" t="s">
        <v>288</v>
      </c>
      <c r="D10" s="7" t="s">
        <v>279</v>
      </c>
      <c r="E10" s="19">
        <v>0.0</v>
      </c>
      <c r="F10" s="19">
        <v>0.0</v>
      </c>
      <c r="G10" s="19">
        <v>0.0</v>
      </c>
      <c r="H10" s="6">
        <f>E10*PV_SESSION+F10*PV_CHALLENGE+G10*PV_WIN</f>
        <v>0</v>
      </c>
    </row>
    <row r="11">
      <c r="A11" s="7" t="s">
        <v>87</v>
      </c>
      <c r="B11" s="7" t="s">
        <v>88</v>
      </c>
      <c r="C11" s="7" t="s">
        <v>289</v>
      </c>
      <c r="D11" s="7" t="s">
        <v>281</v>
      </c>
      <c r="E11" s="19">
        <v>0.0</v>
      </c>
      <c r="F11" s="19">
        <v>0.0</v>
      </c>
      <c r="G11" s="19">
        <v>0.0</v>
      </c>
      <c r="H11" s="6">
        <f>E11*PV_SESSION+F11*PV_CHALLENGE+G11*PV_WIN</f>
        <v>0</v>
      </c>
    </row>
    <row r="12">
      <c r="A12" s="7" t="s">
        <v>89</v>
      </c>
      <c r="B12" s="7" t="s">
        <v>90</v>
      </c>
      <c r="C12" s="7" t="s">
        <v>290</v>
      </c>
      <c r="D12" s="7" t="s">
        <v>279</v>
      </c>
      <c r="E12" s="19">
        <v>0.0</v>
      </c>
      <c r="F12" s="19">
        <v>0.0</v>
      </c>
      <c r="G12" s="19">
        <v>0.0</v>
      </c>
      <c r="H12" s="6">
        <f>E12*PV_SESSION+F12*PV_CHALLENGE+G12*PV_WIN</f>
        <v>0</v>
      </c>
    </row>
    <row r="13">
      <c r="A13" s="7" t="s">
        <v>89</v>
      </c>
      <c r="B13" s="7" t="s">
        <v>90</v>
      </c>
      <c r="C13" s="7" t="s">
        <v>291</v>
      </c>
      <c r="D13" s="7" t="s">
        <v>281</v>
      </c>
      <c r="E13" s="19">
        <v>0.0</v>
      </c>
      <c r="F13" s="19">
        <v>0.0</v>
      </c>
      <c r="G13" s="19">
        <v>0.0</v>
      </c>
      <c r="H13" s="6">
        <f>E13*PV_SESSION+F13*PV_CHALLENGE+G13*PV_WIN</f>
        <v>0</v>
      </c>
    </row>
    <row r="14">
      <c r="A14" s="7" t="s">
        <v>91</v>
      </c>
      <c r="B14" s="7" t="s">
        <v>92</v>
      </c>
      <c r="C14" s="7" t="s">
        <v>292</v>
      </c>
      <c r="D14" s="7" t="s">
        <v>279</v>
      </c>
      <c r="E14" s="19">
        <v>0.0</v>
      </c>
      <c r="F14" s="19">
        <v>0.0</v>
      </c>
      <c r="G14" s="19">
        <v>0.0</v>
      </c>
      <c r="H14" s="6">
        <f>E14*PV_SESSION+F14*PV_CHALLENGE+G14*PV_WIN</f>
        <v>0</v>
      </c>
    </row>
    <row r="15">
      <c r="A15" s="7" t="s">
        <v>91</v>
      </c>
      <c r="B15" s="7" t="s">
        <v>92</v>
      </c>
      <c r="C15" s="7" t="s">
        <v>293</v>
      </c>
      <c r="D15" s="7" t="s">
        <v>281</v>
      </c>
      <c r="E15" s="19">
        <v>0.0</v>
      </c>
      <c r="F15" s="19">
        <v>0.0</v>
      </c>
      <c r="G15" s="19">
        <v>0.0</v>
      </c>
      <c r="H15" s="6">
        <f>E15*PV_SESSION+F15*PV_CHALLENGE+G15*PV_WIN</f>
        <v>0</v>
      </c>
    </row>
    <row r="16">
      <c r="A16" s="7" t="s">
        <v>93</v>
      </c>
      <c r="B16" s="7" t="s">
        <v>94</v>
      </c>
      <c r="C16" s="7" t="s">
        <v>294</v>
      </c>
      <c r="D16" s="7" t="s">
        <v>279</v>
      </c>
      <c r="E16" s="19">
        <v>0.0</v>
      </c>
      <c r="F16" s="18">
        <v>1.0</v>
      </c>
      <c r="G16" s="19">
        <v>0.0</v>
      </c>
      <c r="H16" s="6">
        <f>E16*PV_SESSION+F16*PV_CHALLENGE+G16*PV_WIN</f>
        <v>20</v>
      </c>
    </row>
    <row r="17">
      <c r="A17" s="7" t="s">
        <v>93</v>
      </c>
      <c r="B17" s="7" t="s">
        <v>94</v>
      </c>
      <c r="C17" s="7" t="s">
        <v>295</v>
      </c>
      <c r="D17" s="7" t="s">
        <v>281</v>
      </c>
      <c r="E17" s="19">
        <v>0.0</v>
      </c>
      <c r="F17" s="18">
        <v>1.0</v>
      </c>
      <c r="G17" s="19">
        <v>0.0</v>
      </c>
      <c r="H17" s="6">
        <f>E17*PV_SESSION+F17*PV_CHALLENGE+G17*PV_WIN</f>
        <v>20</v>
      </c>
    </row>
    <row r="18">
      <c r="A18" s="7" t="s">
        <v>93</v>
      </c>
      <c r="B18" s="7" t="s">
        <v>94</v>
      </c>
      <c r="C18" s="7" t="s">
        <v>296</v>
      </c>
      <c r="D18" s="7" t="s">
        <v>281</v>
      </c>
      <c r="E18" s="19">
        <v>0.0</v>
      </c>
      <c r="F18" s="18">
        <v>1.0</v>
      </c>
      <c r="G18" s="19">
        <v>0.0</v>
      </c>
      <c r="H18" s="6">
        <f>E18*PV_SESSION+F18*PV_CHALLENGE+G18*PV_WIN</f>
        <v>20</v>
      </c>
    </row>
    <row r="19">
      <c r="A19" s="7" t="s">
        <v>93</v>
      </c>
      <c r="B19" s="7" t="s">
        <v>94</v>
      </c>
      <c r="C19" s="7" t="s">
        <v>297</v>
      </c>
      <c r="D19" s="7" t="s">
        <v>281</v>
      </c>
      <c r="E19" s="19">
        <v>0.0</v>
      </c>
      <c r="F19" s="18">
        <v>1.0</v>
      </c>
      <c r="G19" s="18">
        <v>1.0</v>
      </c>
      <c r="H19" s="6">
        <f>E19*PV_SESSION+F19*PV_CHALLENGE+G19*PV_WIN</f>
        <v>50</v>
      </c>
    </row>
    <row r="20">
      <c r="A20" s="7" t="s">
        <v>96</v>
      </c>
      <c r="B20" s="7" t="s">
        <v>97</v>
      </c>
      <c r="C20" s="7" t="s">
        <v>298</v>
      </c>
      <c r="D20" s="7" t="s">
        <v>279</v>
      </c>
      <c r="E20" s="19">
        <v>0.0</v>
      </c>
      <c r="F20" s="19">
        <v>0.0</v>
      </c>
      <c r="G20" s="19">
        <v>0.0</v>
      </c>
      <c r="H20" s="6">
        <f>E20*PV_SESSION+F20*PV_CHALLENGE+G20*PV_WIN</f>
        <v>0</v>
      </c>
    </row>
    <row r="21" ht="15.75" customHeight="1">
      <c r="A21" s="7" t="s">
        <v>96</v>
      </c>
      <c r="B21" s="7" t="s">
        <v>97</v>
      </c>
      <c r="C21" s="7" t="s">
        <v>299</v>
      </c>
      <c r="D21" s="7" t="s">
        <v>281</v>
      </c>
      <c r="E21" s="19">
        <v>0.0</v>
      </c>
      <c r="F21" s="19">
        <v>0.0</v>
      </c>
      <c r="G21" s="19">
        <v>0.0</v>
      </c>
      <c r="H21" s="6">
        <f>E21*PV_SESSION+F21*PV_CHALLENGE+G21*PV_WIN</f>
        <v>0</v>
      </c>
    </row>
    <row r="22" ht="15.75" customHeight="1">
      <c r="A22" s="7" t="s">
        <v>96</v>
      </c>
      <c r="B22" s="7" t="s">
        <v>97</v>
      </c>
      <c r="C22" s="7" t="s">
        <v>300</v>
      </c>
      <c r="D22" s="7" t="s">
        <v>281</v>
      </c>
      <c r="E22" s="19">
        <v>0.0</v>
      </c>
      <c r="F22" s="19">
        <v>0.0</v>
      </c>
      <c r="G22" s="19">
        <v>0.0</v>
      </c>
      <c r="H22" s="6">
        <f>E22*PV_SESSION+F22*PV_CHALLENGE+G22*PV_WIN</f>
        <v>0</v>
      </c>
    </row>
    <row r="23" ht="15.75" customHeight="1">
      <c r="A23" s="7" t="s">
        <v>98</v>
      </c>
      <c r="B23" s="7" t="s">
        <v>99</v>
      </c>
      <c r="C23" s="7" t="s">
        <v>301</v>
      </c>
      <c r="D23" s="7" t="s">
        <v>279</v>
      </c>
      <c r="E23" s="19">
        <v>0.0</v>
      </c>
      <c r="F23" s="18">
        <v>1.0</v>
      </c>
      <c r="G23" s="19">
        <v>0.0</v>
      </c>
      <c r="H23" s="6">
        <f>E23*PV_SESSION+F23*PV_CHALLENGE+G23*PV_WIN</f>
        <v>20</v>
      </c>
    </row>
    <row r="24" ht="15.75" customHeight="1">
      <c r="A24" s="7" t="s">
        <v>98</v>
      </c>
      <c r="B24" s="7" t="s">
        <v>99</v>
      </c>
      <c r="C24" s="7" t="s">
        <v>302</v>
      </c>
      <c r="D24" s="7" t="s">
        <v>281</v>
      </c>
      <c r="E24" s="19">
        <v>0.0</v>
      </c>
      <c r="F24" s="19">
        <v>0.0</v>
      </c>
      <c r="G24" s="19">
        <v>0.0</v>
      </c>
      <c r="H24" s="6">
        <f>E24*PV_SESSION+F24*PV_CHALLENGE+G24*PV_WIN</f>
        <v>0</v>
      </c>
    </row>
    <row r="25" ht="15.75" customHeight="1">
      <c r="A25" s="7" t="s">
        <v>100</v>
      </c>
      <c r="B25" s="7" t="s">
        <v>101</v>
      </c>
      <c r="C25" s="7" t="s">
        <v>303</v>
      </c>
      <c r="D25" s="7" t="s">
        <v>279</v>
      </c>
      <c r="E25" s="19">
        <v>0.0</v>
      </c>
      <c r="F25" s="19">
        <v>0.0</v>
      </c>
      <c r="G25" s="19">
        <v>0.0</v>
      </c>
      <c r="H25" s="6">
        <f>E25*PV_SESSION+F25*PV_CHALLENGE+G25*PV_WIN</f>
        <v>0</v>
      </c>
    </row>
    <row r="26" ht="15.75" customHeight="1">
      <c r="A26" s="7" t="s">
        <v>100</v>
      </c>
      <c r="B26" s="7" t="s">
        <v>101</v>
      </c>
      <c r="C26" s="7" t="s">
        <v>304</v>
      </c>
      <c r="D26" s="7" t="s">
        <v>281</v>
      </c>
      <c r="E26" s="19">
        <v>0.0</v>
      </c>
      <c r="F26" s="19">
        <v>0.0</v>
      </c>
      <c r="G26" s="19">
        <v>0.0</v>
      </c>
      <c r="H26" s="6">
        <f>E26*PV_SESSION+F26*PV_CHALLENGE+G26*PV_WIN</f>
        <v>0</v>
      </c>
    </row>
    <row r="27" ht="15.75" customHeight="1">
      <c r="A27" s="7" t="s">
        <v>100</v>
      </c>
      <c r="B27" s="7" t="s">
        <v>101</v>
      </c>
      <c r="C27" s="7" t="s">
        <v>305</v>
      </c>
      <c r="D27" s="7" t="s">
        <v>281</v>
      </c>
      <c r="E27" s="19">
        <v>0.0</v>
      </c>
      <c r="F27" s="19">
        <v>0.0</v>
      </c>
      <c r="G27" s="19">
        <v>0.0</v>
      </c>
      <c r="H27" s="6">
        <f>E27*PV_SESSION+F27*PV_CHALLENGE+G27*PV_WIN</f>
        <v>0</v>
      </c>
    </row>
    <row r="28" ht="15.75" customHeight="1">
      <c r="A28" s="7" t="s">
        <v>100</v>
      </c>
      <c r="B28" s="7" t="s">
        <v>101</v>
      </c>
      <c r="C28" s="7" t="s">
        <v>306</v>
      </c>
      <c r="D28" s="7" t="s">
        <v>281</v>
      </c>
      <c r="E28" s="19">
        <v>0.0</v>
      </c>
      <c r="F28" s="19">
        <v>0.0</v>
      </c>
      <c r="G28" s="19">
        <v>0.0</v>
      </c>
      <c r="H28" s="6">
        <f>E28*PV_SESSION+F28*PV_CHALLENGE+G28*PV_WIN</f>
        <v>0</v>
      </c>
    </row>
    <row r="29" ht="15.75" customHeight="1">
      <c r="A29" s="7" t="s">
        <v>102</v>
      </c>
      <c r="B29" s="7" t="s">
        <v>103</v>
      </c>
      <c r="C29" s="7" t="s">
        <v>307</v>
      </c>
      <c r="D29" s="7" t="s">
        <v>279</v>
      </c>
      <c r="E29" s="19">
        <v>0.0</v>
      </c>
      <c r="F29" s="18">
        <v>1.0</v>
      </c>
      <c r="G29" s="18">
        <v>1.0</v>
      </c>
      <c r="H29" s="6">
        <f>E29*PV_SESSION+F29*PV_CHALLENGE+G29*PV_WIN</f>
        <v>50</v>
      </c>
    </row>
    <row r="30" ht="15.75" customHeight="1">
      <c r="A30" s="7" t="s">
        <v>102</v>
      </c>
      <c r="B30" s="7" t="s">
        <v>103</v>
      </c>
      <c r="C30" s="7" t="s">
        <v>308</v>
      </c>
      <c r="D30" s="7" t="s">
        <v>281</v>
      </c>
      <c r="E30" s="19">
        <v>0.0</v>
      </c>
      <c r="F30" s="18">
        <v>1.0</v>
      </c>
      <c r="G30" s="19">
        <v>0.0</v>
      </c>
      <c r="H30" s="6">
        <f>E30*PV_SESSION+F30*PV_CHALLENGE+G30*PV_WIN</f>
        <v>20</v>
      </c>
    </row>
    <row r="31" ht="15.75" customHeight="1">
      <c r="A31" s="7" t="s">
        <v>102</v>
      </c>
      <c r="B31" s="7" t="s">
        <v>103</v>
      </c>
      <c r="C31" s="7" t="s">
        <v>309</v>
      </c>
      <c r="D31" s="7" t="s">
        <v>281</v>
      </c>
      <c r="E31" s="19">
        <v>0.0</v>
      </c>
      <c r="F31" s="18">
        <v>1.0</v>
      </c>
      <c r="G31" s="19">
        <v>0.0</v>
      </c>
      <c r="H31" s="6">
        <f>E31*PV_SESSION+F31*PV_CHALLENGE+G31*PV_WIN</f>
        <v>20</v>
      </c>
    </row>
    <row r="32" ht="15.75" customHeight="1">
      <c r="A32" s="7" t="s">
        <v>102</v>
      </c>
      <c r="B32" s="7" t="s">
        <v>103</v>
      </c>
      <c r="C32" s="7" t="s">
        <v>310</v>
      </c>
      <c r="D32" s="7" t="s">
        <v>281</v>
      </c>
      <c r="E32" s="19">
        <v>0.0</v>
      </c>
      <c r="F32" s="18">
        <v>1.0</v>
      </c>
      <c r="G32" s="19">
        <v>0.0</v>
      </c>
      <c r="H32" s="6">
        <f>E32*PV_SESSION+F32*PV_CHALLENGE+G32*PV_WIN</f>
        <v>20</v>
      </c>
    </row>
    <row r="33" ht="15.75" customHeight="1">
      <c r="A33" s="7" t="s">
        <v>104</v>
      </c>
      <c r="B33" s="7" t="s">
        <v>105</v>
      </c>
      <c r="C33" s="7" t="s">
        <v>311</v>
      </c>
      <c r="D33" s="7" t="s">
        <v>279</v>
      </c>
      <c r="E33" s="19">
        <v>0.0</v>
      </c>
      <c r="F33" s="19">
        <v>0.0</v>
      </c>
      <c r="G33" s="19">
        <v>0.0</v>
      </c>
      <c r="H33" s="6">
        <f>E33*PV_SESSION+F33*PV_CHALLENGE+G33*PV_WIN</f>
        <v>0</v>
      </c>
    </row>
    <row r="34" ht="15.75" customHeight="1">
      <c r="A34" s="7" t="s">
        <v>104</v>
      </c>
      <c r="B34" s="7" t="s">
        <v>105</v>
      </c>
      <c r="C34" s="7" t="s">
        <v>312</v>
      </c>
      <c r="D34" s="7" t="s">
        <v>281</v>
      </c>
      <c r="E34" s="19">
        <v>0.0</v>
      </c>
      <c r="F34" s="19">
        <v>0.0</v>
      </c>
      <c r="G34" s="19">
        <v>0.0</v>
      </c>
      <c r="H34" s="6">
        <f>E34*PV_SESSION+F34*PV_CHALLENGE+G34*PV_WIN</f>
        <v>0</v>
      </c>
    </row>
    <row r="35" ht="15.75" customHeight="1">
      <c r="A35" s="7" t="s">
        <v>106</v>
      </c>
      <c r="B35" s="7" t="s">
        <v>107</v>
      </c>
      <c r="C35" s="7" t="s">
        <v>313</v>
      </c>
      <c r="D35" s="7" t="s">
        <v>279</v>
      </c>
      <c r="E35" s="19">
        <v>0.0</v>
      </c>
      <c r="F35" s="19">
        <v>0.0</v>
      </c>
      <c r="G35" s="19">
        <v>0.0</v>
      </c>
      <c r="H35" s="6">
        <f>E35*PV_SESSION+F35*PV_CHALLENGE+G35*PV_WIN</f>
        <v>0</v>
      </c>
    </row>
    <row r="36" ht="15.75" customHeight="1">
      <c r="A36" s="7" t="s">
        <v>106</v>
      </c>
      <c r="B36" s="7" t="s">
        <v>107</v>
      </c>
      <c r="C36" s="7" t="s">
        <v>314</v>
      </c>
      <c r="D36" s="7" t="s">
        <v>281</v>
      </c>
      <c r="E36" s="19">
        <v>0.0</v>
      </c>
      <c r="F36" s="19">
        <v>0.0</v>
      </c>
      <c r="G36" s="19">
        <v>0.0</v>
      </c>
      <c r="H36" s="6">
        <f>E36*PV_SESSION+F36*PV_CHALLENGE+G36*PV_WIN</f>
        <v>0</v>
      </c>
    </row>
    <row r="37" ht="15.75" customHeight="1">
      <c r="A37" s="7" t="s">
        <v>106</v>
      </c>
      <c r="B37" s="7" t="s">
        <v>107</v>
      </c>
      <c r="C37" s="7" t="s">
        <v>315</v>
      </c>
      <c r="D37" s="7" t="s">
        <v>281</v>
      </c>
      <c r="E37" s="19">
        <v>0.0</v>
      </c>
      <c r="F37" s="19">
        <v>0.0</v>
      </c>
      <c r="G37" s="19">
        <v>0.0</v>
      </c>
      <c r="H37" s="6">
        <f>E37*PV_SESSION+F37*PV_CHALLENGE+G37*PV_WIN</f>
        <v>0</v>
      </c>
    </row>
    <row r="38" ht="15.75" customHeight="1">
      <c r="A38" s="7" t="s">
        <v>108</v>
      </c>
      <c r="B38" s="7" t="s">
        <v>109</v>
      </c>
      <c r="C38" s="7" t="s">
        <v>316</v>
      </c>
      <c r="D38" s="7" t="s">
        <v>279</v>
      </c>
      <c r="E38" s="19">
        <v>0.0</v>
      </c>
      <c r="F38" s="19">
        <v>0.0</v>
      </c>
      <c r="G38" s="19">
        <v>0.0</v>
      </c>
      <c r="H38" s="6">
        <f>E38*PV_SESSION+F38*PV_CHALLENGE+G38*PV_WIN</f>
        <v>0</v>
      </c>
    </row>
    <row r="39" ht="15.75" customHeight="1">
      <c r="A39" s="7" t="s">
        <v>108</v>
      </c>
      <c r="B39" s="7" t="s">
        <v>109</v>
      </c>
      <c r="C39" s="7" t="s">
        <v>317</v>
      </c>
      <c r="D39" s="7" t="s">
        <v>281</v>
      </c>
      <c r="E39" s="19">
        <v>0.0</v>
      </c>
      <c r="F39" s="19">
        <v>0.0</v>
      </c>
      <c r="G39" s="19">
        <v>0.0</v>
      </c>
      <c r="H39" s="6">
        <f>E39*PV_SESSION+F39*PV_CHALLENGE+G39*PV_WIN</f>
        <v>0</v>
      </c>
    </row>
    <row r="40" ht="15.75" customHeight="1">
      <c r="A40" s="7" t="s">
        <v>110</v>
      </c>
      <c r="B40" s="7" t="s">
        <v>111</v>
      </c>
      <c r="C40" s="7" t="s">
        <v>318</v>
      </c>
      <c r="D40" s="7" t="s">
        <v>279</v>
      </c>
      <c r="E40" s="19">
        <v>0.0</v>
      </c>
      <c r="F40" s="19">
        <v>0.0</v>
      </c>
      <c r="G40" s="19">
        <v>0.0</v>
      </c>
      <c r="H40" s="6">
        <f>E40*PV_SESSION+F40*PV_CHALLENGE+G40*PV_WIN</f>
        <v>0</v>
      </c>
    </row>
    <row r="41" ht="15.75" customHeight="1">
      <c r="A41" s="7" t="s">
        <v>110</v>
      </c>
      <c r="B41" s="7" t="s">
        <v>111</v>
      </c>
      <c r="C41" s="7" t="s">
        <v>319</v>
      </c>
      <c r="D41" s="7" t="s">
        <v>281</v>
      </c>
      <c r="E41" s="19">
        <v>0.0</v>
      </c>
      <c r="F41" s="19">
        <v>0.0</v>
      </c>
      <c r="G41" s="19">
        <v>0.0</v>
      </c>
      <c r="H41" s="6">
        <f>E41*PV_SESSION+F41*PV_CHALLENGE+G41*PV_WIN</f>
        <v>0</v>
      </c>
    </row>
    <row r="42" ht="15.75" customHeight="1">
      <c r="A42" s="7" t="s">
        <v>110</v>
      </c>
      <c r="B42" s="7" t="s">
        <v>111</v>
      </c>
      <c r="C42" s="7" t="s">
        <v>320</v>
      </c>
      <c r="D42" s="7" t="s">
        <v>281</v>
      </c>
      <c r="E42" s="19">
        <v>0.0</v>
      </c>
      <c r="F42" s="18">
        <v>1.0</v>
      </c>
      <c r="G42" s="19">
        <v>0.0</v>
      </c>
      <c r="H42" s="6">
        <f>E42*PV_SESSION+F42*PV_CHALLENGE+G42*PV_WIN</f>
        <v>20</v>
      </c>
    </row>
    <row r="43" ht="15.75" customHeight="1">
      <c r="A43" s="7" t="s">
        <v>112</v>
      </c>
      <c r="B43" s="7" t="s">
        <v>113</v>
      </c>
      <c r="C43" s="7" t="s">
        <v>321</v>
      </c>
      <c r="D43" s="7" t="s">
        <v>279</v>
      </c>
      <c r="E43" s="19">
        <v>0.0</v>
      </c>
      <c r="F43" s="19">
        <v>0.0</v>
      </c>
      <c r="G43" s="19">
        <v>0.0</v>
      </c>
      <c r="H43" s="6">
        <f>E43*PV_SESSION+F43*PV_CHALLENGE+G43*PV_WIN</f>
        <v>0</v>
      </c>
    </row>
    <row r="44" ht="15.75" customHeight="1">
      <c r="A44" s="7" t="s">
        <v>112</v>
      </c>
      <c r="B44" s="7" t="s">
        <v>113</v>
      </c>
      <c r="C44" s="7" t="s">
        <v>322</v>
      </c>
      <c r="D44" s="7" t="s">
        <v>281</v>
      </c>
      <c r="E44" s="19">
        <v>0.0</v>
      </c>
      <c r="F44" s="19">
        <v>0.0</v>
      </c>
      <c r="G44" s="19">
        <v>0.0</v>
      </c>
      <c r="H44" s="6">
        <f>E44*PV_SESSION+F44*PV_CHALLENGE+G44*PV_WIN</f>
        <v>0</v>
      </c>
    </row>
    <row r="45" ht="15.75" customHeight="1">
      <c r="A45" s="7" t="s">
        <v>112</v>
      </c>
      <c r="B45" s="7" t="s">
        <v>113</v>
      </c>
      <c r="C45" s="7" t="s">
        <v>323</v>
      </c>
      <c r="D45" s="7" t="s">
        <v>281</v>
      </c>
      <c r="E45" s="19">
        <v>0.0</v>
      </c>
      <c r="F45" s="19">
        <v>0.0</v>
      </c>
      <c r="G45" s="19">
        <v>0.0</v>
      </c>
      <c r="H45" s="6">
        <f>E45*PV_SESSION+F45*PV_CHALLENGE+G45*PV_WIN</f>
        <v>0</v>
      </c>
    </row>
    <row r="46" ht="15.75" customHeight="1">
      <c r="A46" s="7" t="s">
        <v>114</v>
      </c>
      <c r="B46" s="7" t="s">
        <v>115</v>
      </c>
      <c r="C46" s="7" t="s">
        <v>324</v>
      </c>
      <c r="D46" s="7" t="s">
        <v>279</v>
      </c>
      <c r="E46" s="19">
        <v>0.0</v>
      </c>
      <c r="F46" s="19">
        <v>0.0</v>
      </c>
      <c r="G46" s="19">
        <v>0.0</v>
      </c>
      <c r="H46" s="6">
        <f>E46*PV_SESSION+F46*PV_CHALLENGE+G46*PV_WIN</f>
        <v>0</v>
      </c>
    </row>
    <row r="47" ht="15.75" customHeight="1">
      <c r="A47" s="7" t="s">
        <v>114</v>
      </c>
      <c r="B47" s="7" t="s">
        <v>115</v>
      </c>
      <c r="C47" s="7" t="s">
        <v>325</v>
      </c>
      <c r="D47" s="7" t="s">
        <v>281</v>
      </c>
      <c r="E47" s="19">
        <v>0.0</v>
      </c>
      <c r="F47" s="19">
        <v>0.0</v>
      </c>
      <c r="G47" s="19">
        <v>0.0</v>
      </c>
      <c r="H47" s="6">
        <f>E47*PV_SESSION+F47*PV_CHALLENGE+G47*PV_WIN</f>
        <v>0</v>
      </c>
    </row>
    <row r="48" ht="15.75" customHeight="1">
      <c r="A48" s="7" t="s">
        <v>114</v>
      </c>
      <c r="B48" s="7" t="s">
        <v>115</v>
      </c>
      <c r="C48" s="7" t="s">
        <v>326</v>
      </c>
      <c r="D48" s="7" t="s">
        <v>281</v>
      </c>
      <c r="E48" s="19">
        <v>0.0</v>
      </c>
      <c r="F48" s="19">
        <v>0.0</v>
      </c>
      <c r="G48" s="19">
        <v>0.0</v>
      </c>
      <c r="H48" s="6">
        <f>E48*PV_SESSION+F48*PV_CHALLENGE+G48*PV_WIN</f>
        <v>0</v>
      </c>
    </row>
    <row r="49" ht="15.75" customHeight="1">
      <c r="A49" s="7" t="s">
        <v>116</v>
      </c>
      <c r="B49" s="7" t="s">
        <v>117</v>
      </c>
      <c r="C49" s="7" t="s">
        <v>327</v>
      </c>
      <c r="D49" s="7" t="s">
        <v>279</v>
      </c>
      <c r="E49" s="19">
        <v>0.0</v>
      </c>
      <c r="F49" s="19">
        <v>0.0</v>
      </c>
      <c r="G49" s="19">
        <v>0.0</v>
      </c>
      <c r="H49" s="6">
        <f>E49*PV_SESSION+F49*PV_CHALLENGE+G49*PV_WIN</f>
        <v>0</v>
      </c>
    </row>
    <row r="50" ht="15.75" customHeight="1">
      <c r="A50" s="7" t="s">
        <v>116</v>
      </c>
      <c r="B50" s="7" t="s">
        <v>117</v>
      </c>
      <c r="C50" s="7" t="s">
        <v>328</v>
      </c>
      <c r="D50" s="7" t="s">
        <v>281</v>
      </c>
      <c r="E50" s="19">
        <v>0.0</v>
      </c>
      <c r="F50" s="19">
        <v>0.0</v>
      </c>
      <c r="G50" s="19">
        <v>0.0</v>
      </c>
      <c r="H50" s="6">
        <f>E50*PV_SESSION+F50*PV_CHALLENGE+G50*PV_WIN</f>
        <v>0</v>
      </c>
    </row>
    <row r="51" ht="15.75" customHeight="1">
      <c r="A51" s="7" t="s">
        <v>118</v>
      </c>
      <c r="B51" s="7" t="s">
        <v>119</v>
      </c>
      <c r="C51" s="7" t="s">
        <v>329</v>
      </c>
      <c r="D51" s="7" t="s">
        <v>279</v>
      </c>
      <c r="E51" s="19">
        <v>0.0</v>
      </c>
      <c r="F51" s="18">
        <v>1.0</v>
      </c>
      <c r="G51" s="19">
        <v>0.0</v>
      </c>
      <c r="H51" s="6">
        <f>E51*PV_SESSION+F51*PV_CHALLENGE+G51*PV_WIN</f>
        <v>20</v>
      </c>
    </row>
    <row r="52" ht="15.75" customHeight="1">
      <c r="A52" s="7" t="s">
        <v>118</v>
      </c>
      <c r="B52" s="7" t="s">
        <v>119</v>
      </c>
      <c r="C52" s="7" t="s">
        <v>330</v>
      </c>
      <c r="D52" s="7" t="s">
        <v>281</v>
      </c>
      <c r="E52" s="19">
        <v>0.0</v>
      </c>
      <c r="F52" s="18">
        <v>1.0</v>
      </c>
      <c r="G52" s="19">
        <v>0.0</v>
      </c>
      <c r="H52" s="6">
        <f>E52*PV_SESSION+F52*PV_CHALLENGE+G52*PV_WIN</f>
        <v>20</v>
      </c>
    </row>
    <row r="53" ht="15.75" customHeight="1">
      <c r="A53" s="7" t="s">
        <v>120</v>
      </c>
      <c r="B53" s="7" t="s">
        <v>121</v>
      </c>
      <c r="C53" s="7" t="s">
        <v>331</v>
      </c>
      <c r="D53" s="7" t="s">
        <v>279</v>
      </c>
      <c r="E53" s="19">
        <v>0.0</v>
      </c>
      <c r="F53" s="19">
        <v>0.0</v>
      </c>
      <c r="G53" s="19">
        <v>0.0</v>
      </c>
      <c r="H53" s="6">
        <f>E53*PV_SESSION+F53*PV_CHALLENGE+G53*PV_WIN</f>
        <v>0</v>
      </c>
    </row>
    <row r="54" ht="15.75" customHeight="1">
      <c r="A54" s="7" t="s">
        <v>120</v>
      </c>
      <c r="B54" s="7" t="s">
        <v>121</v>
      </c>
      <c r="C54" s="7" t="s">
        <v>332</v>
      </c>
      <c r="D54" s="7" t="s">
        <v>281</v>
      </c>
      <c r="E54" s="19">
        <v>0.0</v>
      </c>
      <c r="F54" s="19">
        <v>0.0</v>
      </c>
      <c r="G54" s="19">
        <v>0.0</v>
      </c>
      <c r="H54" s="6">
        <f>E54*PV_SESSION+F54*PV_CHALLENGE+G54*PV_WIN</f>
        <v>0</v>
      </c>
    </row>
    <row r="55" ht="15.75" customHeight="1">
      <c r="A55" s="7" t="s">
        <v>120</v>
      </c>
      <c r="B55" s="7" t="s">
        <v>121</v>
      </c>
      <c r="C55" s="7" t="s">
        <v>333</v>
      </c>
      <c r="D55" s="7" t="s">
        <v>281</v>
      </c>
      <c r="E55" s="19">
        <v>0.0</v>
      </c>
      <c r="F55" s="19">
        <v>0.0</v>
      </c>
      <c r="G55" s="19">
        <v>0.0</v>
      </c>
      <c r="H55" s="6">
        <f>E55*PV_SESSION+F55*PV_CHALLENGE+G55*PV_WIN</f>
        <v>0</v>
      </c>
    </row>
    <row r="56" ht="15.75" customHeight="1">
      <c r="A56" s="7" t="s">
        <v>122</v>
      </c>
      <c r="B56" s="7" t="s">
        <v>123</v>
      </c>
      <c r="C56" s="7" t="s">
        <v>334</v>
      </c>
      <c r="D56" s="7" t="s">
        <v>279</v>
      </c>
      <c r="E56" s="19">
        <v>0.0</v>
      </c>
      <c r="F56" s="19">
        <v>0.0</v>
      </c>
      <c r="G56" s="19">
        <v>0.0</v>
      </c>
      <c r="H56" s="6">
        <f>E56*PV_SESSION+F56*PV_CHALLENGE+G56*PV_WIN</f>
        <v>0</v>
      </c>
    </row>
    <row r="57" ht="15.75" customHeight="1">
      <c r="A57" s="7" t="s">
        <v>124</v>
      </c>
      <c r="B57" s="7" t="s">
        <v>125</v>
      </c>
      <c r="C57" s="7" t="s">
        <v>335</v>
      </c>
      <c r="D57" s="7" t="s">
        <v>279</v>
      </c>
      <c r="E57" s="19">
        <v>0.0</v>
      </c>
      <c r="F57" s="19">
        <v>0.0</v>
      </c>
      <c r="G57" s="19">
        <v>0.0</v>
      </c>
      <c r="H57" s="6">
        <f>E57*PV_SESSION+F57*PV_CHALLENGE+G57*PV_WIN</f>
        <v>0</v>
      </c>
    </row>
    <row r="58" ht="15.75" customHeight="1">
      <c r="A58" s="7" t="s">
        <v>124</v>
      </c>
      <c r="B58" s="7" t="s">
        <v>125</v>
      </c>
      <c r="C58" s="7" t="s">
        <v>336</v>
      </c>
      <c r="D58" s="7" t="s">
        <v>281</v>
      </c>
      <c r="E58" s="19">
        <v>0.0</v>
      </c>
      <c r="F58" s="19">
        <v>0.0</v>
      </c>
      <c r="G58" s="19">
        <v>0.0</v>
      </c>
      <c r="H58" s="6">
        <f>E58*PV_SESSION+F58*PV_CHALLENGE+G58*PV_WIN</f>
        <v>0</v>
      </c>
    </row>
    <row r="59" ht="15.75" customHeight="1">
      <c r="A59" s="7" t="s">
        <v>126</v>
      </c>
      <c r="B59" s="7" t="s">
        <v>127</v>
      </c>
      <c r="C59" s="7" t="s">
        <v>337</v>
      </c>
      <c r="D59" s="7" t="s">
        <v>279</v>
      </c>
      <c r="E59" s="19">
        <v>0.0</v>
      </c>
      <c r="F59" s="19">
        <v>0.0</v>
      </c>
      <c r="G59" s="19">
        <v>0.0</v>
      </c>
      <c r="H59" s="6">
        <f>E59*PV_SESSION+F59*PV_CHALLENGE+G59*PV_WIN</f>
        <v>0</v>
      </c>
    </row>
    <row r="60" ht="15.75" customHeight="1">
      <c r="A60" s="7" t="s">
        <v>126</v>
      </c>
      <c r="B60" s="7" t="s">
        <v>127</v>
      </c>
      <c r="C60" s="7" t="s">
        <v>338</v>
      </c>
      <c r="D60" s="7" t="s">
        <v>281</v>
      </c>
      <c r="E60" s="19">
        <v>0.0</v>
      </c>
      <c r="F60" s="19">
        <v>0.0</v>
      </c>
      <c r="G60" s="19">
        <v>0.0</v>
      </c>
      <c r="H60" s="6">
        <f>E60*PV_SESSION+F60*PV_CHALLENGE+G60*PV_WIN</f>
        <v>0</v>
      </c>
    </row>
    <row r="61" ht="15.75" customHeight="1">
      <c r="A61" s="7" t="s">
        <v>128</v>
      </c>
      <c r="B61" s="7" t="s">
        <v>129</v>
      </c>
      <c r="C61" s="7" t="s">
        <v>339</v>
      </c>
      <c r="D61" s="7" t="s">
        <v>279</v>
      </c>
      <c r="E61" s="19">
        <v>0.0</v>
      </c>
      <c r="F61" s="19">
        <v>0.0</v>
      </c>
      <c r="G61" s="19">
        <v>0.0</v>
      </c>
      <c r="H61" s="6">
        <f>E61*PV_SESSION+F61*PV_CHALLENGE+G61*PV_WIN</f>
        <v>0</v>
      </c>
    </row>
    <row r="62" ht="15.75" customHeight="1">
      <c r="A62" s="7" t="s">
        <v>130</v>
      </c>
      <c r="B62" s="7" t="s">
        <v>131</v>
      </c>
      <c r="C62" s="7" t="s">
        <v>340</v>
      </c>
      <c r="D62" s="7" t="s">
        <v>279</v>
      </c>
      <c r="E62" s="19">
        <v>0.0</v>
      </c>
      <c r="F62" s="19">
        <v>0.0</v>
      </c>
      <c r="G62" s="19">
        <v>0.0</v>
      </c>
      <c r="H62" s="6">
        <f>E62*PV_SESSION+F62*PV_CHALLENGE+G62*PV_WIN</f>
        <v>0</v>
      </c>
    </row>
    <row r="63" ht="15.75" customHeight="1">
      <c r="A63" s="7" t="s">
        <v>132</v>
      </c>
      <c r="B63" s="7" t="s">
        <v>133</v>
      </c>
      <c r="C63" s="7" t="s">
        <v>341</v>
      </c>
      <c r="D63" s="7" t="s">
        <v>279</v>
      </c>
      <c r="E63" s="19">
        <v>0.0</v>
      </c>
      <c r="F63" s="19">
        <v>0.0</v>
      </c>
      <c r="G63" s="19">
        <v>0.0</v>
      </c>
      <c r="H63" s="6">
        <f>E63*PV_SESSION+F63*PV_CHALLENGE+G63*PV_WIN</f>
        <v>0</v>
      </c>
    </row>
    <row r="64" ht="15.75" customHeight="1">
      <c r="A64" s="7" t="s">
        <v>134</v>
      </c>
      <c r="B64" s="7" t="s">
        <v>135</v>
      </c>
      <c r="C64" s="7" t="s">
        <v>342</v>
      </c>
      <c r="D64" s="7" t="s">
        <v>279</v>
      </c>
      <c r="E64" s="19">
        <v>0.0</v>
      </c>
      <c r="F64" s="19">
        <v>0.0</v>
      </c>
      <c r="G64" s="19">
        <v>0.0</v>
      </c>
      <c r="H64" s="6">
        <f>E64*PV_SESSION+F64*PV_CHALLENGE+G64*PV_WIN</f>
        <v>0</v>
      </c>
    </row>
    <row r="65" ht="15.75" customHeight="1">
      <c r="A65" s="7" t="s">
        <v>136</v>
      </c>
      <c r="B65" s="7" t="s">
        <v>137</v>
      </c>
      <c r="C65" s="7" t="s">
        <v>343</v>
      </c>
      <c r="D65" s="7" t="s">
        <v>279</v>
      </c>
      <c r="E65" s="19">
        <v>0.0</v>
      </c>
      <c r="F65" s="19">
        <v>0.0</v>
      </c>
      <c r="G65" s="19">
        <v>0.0</v>
      </c>
      <c r="H65" s="6">
        <f>E65*PV_SESSION+F65*PV_CHALLENGE+G65*PV_WIN</f>
        <v>0</v>
      </c>
    </row>
    <row r="66" ht="15.75" customHeight="1">
      <c r="A66" s="7" t="s">
        <v>138</v>
      </c>
      <c r="B66" s="7" t="s">
        <v>139</v>
      </c>
      <c r="C66" s="7" t="s">
        <v>344</v>
      </c>
      <c r="D66" s="7" t="s">
        <v>279</v>
      </c>
      <c r="E66" s="19">
        <v>0.0</v>
      </c>
      <c r="F66" s="18">
        <v>1.0</v>
      </c>
      <c r="G66" s="18">
        <v>1.0</v>
      </c>
      <c r="H66" s="6">
        <f>E66*PV_SESSION+F66*PV_CHALLENGE+G66*PV_WIN</f>
        <v>50</v>
      </c>
    </row>
    <row r="67" ht="15.75" customHeight="1">
      <c r="A67" s="7" t="s">
        <v>138</v>
      </c>
      <c r="B67" s="7" t="s">
        <v>139</v>
      </c>
      <c r="C67" s="7" t="s">
        <v>345</v>
      </c>
      <c r="D67" s="7" t="s">
        <v>281</v>
      </c>
      <c r="E67" s="19">
        <v>0.0</v>
      </c>
      <c r="F67" s="18">
        <v>1.0</v>
      </c>
      <c r="G67" s="19">
        <v>0.0</v>
      </c>
      <c r="H67" s="6">
        <f>E67*PV_SESSION+F67*PV_CHALLENGE+G67*PV_WIN</f>
        <v>20</v>
      </c>
    </row>
    <row r="68" ht="15.75" customHeight="1">
      <c r="A68" s="7" t="s">
        <v>140</v>
      </c>
      <c r="B68" s="7" t="s">
        <v>141</v>
      </c>
      <c r="C68" s="7" t="s">
        <v>346</v>
      </c>
      <c r="D68" s="7" t="s">
        <v>279</v>
      </c>
      <c r="E68" s="19">
        <v>0.0</v>
      </c>
      <c r="F68" s="19">
        <v>0.0</v>
      </c>
      <c r="G68" s="19">
        <v>0.0</v>
      </c>
      <c r="H68" s="6">
        <f>E68*PV_SESSION+F68*PV_CHALLENGE+G68*PV_WIN</f>
        <v>0</v>
      </c>
    </row>
    <row r="69" ht="15.75" customHeight="1">
      <c r="A69" s="7" t="s">
        <v>140</v>
      </c>
      <c r="B69" s="7" t="s">
        <v>141</v>
      </c>
      <c r="C69" s="7" t="s">
        <v>347</v>
      </c>
      <c r="D69" s="7" t="s">
        <v>281</v>
      </c>
      <c r="E69" s="19">
        <v>0.0</v>
      </c>
      <c r="F69" s="19">
        <v>0.0</v>
      </c>
      <c r="G69" s="19">
        <v>0.0</v>
      </c>
      <c r="H69" s="6">
        <f>E69*PV_SESSION+F69*PV_CHALLENGE+G69*PV_WIN</f>
        <v>0</v>
      </c>
    </row>
    <row r="70" ht="15.75" customHeight="1">
      <c r="A70" s="7" t="s">
        <v>142</v>
      </c>
      <c r="B70" s="7" t="s">
        <v>143</v>
      </c>
      <c r="C70" s="7" t="s">
        <v>348</v>
      </c>
      <c r="D70" s="7" t="s">
        <v>279</v>
      </c>
      <c r="E70" s="19">
        <v>0.0</v>
      </c>
      <c r="F70" s="19">
        <v>0.0</v>
      </c>
      <c r="G70" s="19">
        <v>0.0</v>
      </c>
      <c r="H70" s="6">
        <f>E70*PV_SESSION+F70*PV_CHALLENGE+G70*PV_WIN</f>
        <v>0</v>
      </c>
    </row>
    <row r="71" ht="15.75" customHeight="1">
      <c r="A71" s="7" t="s">
        <v>144</v>
      </c>
      <c r="B71" s="7" t="s">
        <v>145</v>
      </c>
      <c r="C71" s="7" t="s">
        <v>349</v>
      </c>
      <c r="D71" s="7" t="s">
        <v>279</v>
      </c>
      <c r="E71" s="19">
        <v>0.0</v>
      </c>
      <c r="F71" s="19">
        <v>0.0</v>
      </c>
      <c r="G71" s="19">
        <v>0.0</v>
      </c>
      <c r="H71" s="6">
        <f>E71*PV_SESSION+F71*PV_CHALLENGE+G71*PV_WIN</f>
        <v>0</v>
      </c>
    </row>
    <row r="72" ht="15.75" customHeight="1">
      <c r="A72" s="7" t="s">
        <v>146</v>
      </c>
      <c r="B72" s="7" t="s">
        <v>147</v>
      </c>
      <c r="C72" s="7" t="s">
        <v>350</v>
      </c>
      <c r="D72" s="7" t="s">
        <v>279</v>
      </c>
      <c r="E72" s="19">
        <v>0.0</v>
      </c>
      <c r="F72" s="19">
        <v>0.0</v>
      </c>
      <c r="G72" s="19">
        <v>0.0</v>
      </c>
      <c r="H72" s="6">
        <f>E72*PV_SESSION+F72*PV_CHALLENGE+G72*PV_WIN</f>
        <v>0</v>
      </c>
    </row>
    <row r="73" ht="15.75" customHeight="1">
      <c r="A73" s="7" t="s">
        <v>146</v>
      </c>
      <c r="B73" s="7" t="s">
        <v>147</v>
      </c>
      <c r="C73" s="7" t="s">
        <v>351</v>
      </c>
      <c r="D73" s="7" t="s">
        <v>281</v>
      </c>
      <c r="E73" s="19">
        <v>0.0</v>
      </c>
      <c r="F73" s="19">
        <v>0.0</v>
      </c>
      <c r="G73" s="19">
        <v>0.0</v>
      </c>
      <c r="H73" s="6">
        <f>E73*PV_SESSION+F73*PV_CHALLENGE+G73*PV_WIN</f>
        <v>0</v>
      </c>
    </row>
    <row r="74" ht="15.75" customHeight="1">
      <c r="A74" s="7" t="s">
        <v>148</v>
      </c>
      <c r="B74" s="7" t="s">
        <v>149</v>
      </c>
      <c r="C74" s="7" t="s">
        <v>352</v>
      </c>
      <c r="D74" s="7" t="s">
        <v>279</v>
      </c>
      <c r="E74" s="19">
        <v>0.0</v>
      </c>
      <c r="F74" s="19">
        <v>0.0</v>
      </c>
      <c r="G74" s="19">
        <v>0.0</v>
      </c>
      <c r="H74" s="6">
        <f>E74*PV_SESSION+F74*PV_CHALLENGE+G74*PV_WIN</f>
        <v>0</v>
      </c>
    </row>
    <row r="75" ht="15.75" customHeight="1">
      <c r="A75" s="7" t="s">
        <v>148</v>
      </c>
      <c r="B75" s="7" t="s">
        <v>149</v>
      </c>
      <c r="C75" s="7" t="s">
        <v>353</v>
      </c>
      <c r="D75" s="7" t="s">
        <v>281</v>
      </c>
      <c r="E75" s="19">
        <v>0.0</v>
      </c>
      <c r="F75" s="19">
        <v>0.0</v>
      </c>
      <c r="G75" s="19">
        <v>0.0</v>
      </c>
      <c r="H75" s="6">
        <f>E75*PV_SESSION+F75*PV_CHALLENGE+G75*PV_WIN</f>
        <v>0</v>
      </c>
    </row>
    <row r="76" ht="15.75" customHeight="1">
      <c r="A76" s="7" t="s">
        <v>150</v>
      </c>
      <c r="B76" s="7" t="s">
        <v>151</v>
      </c>
      <c r="C76" s="7" t="s">
        <v>354</v>
      </c>
      <c r="D76" s="7" t="s">
        <v>279</v>
      </c>
      <c r="E76" s="19">
        <v>0.0</v>
      </c>
      <c r="F76" s="19">
        <v>0.0</v>
      </c>
      <c r="G76" s="19">
        <v>0.0</v>
      </c>
      <c r="H76" s="6">
        <f>E76*PV_SESSION+F76*PV_CHALLENGE+G76*PV_WIN</f>
        <v>0</v>
      </c>
    </row>
    <row r="77" ht="15.75" customHeight="1">
      <c r="A77" s="7" t="s">
        <v>150</v>
      </c>
      <c r="B77" s="7" t="s">
        <v>151</v>
      </c>
      <c r="C77" s="7" t="s">
        <v>355</v>
      </c>
      <c r="D77" s="7" t="s">
        <v>281</v>
      </c>
      <c r="E77" s="19">
        <v>0.0</v>
      </c>
      <c r="F77" s="19">
        <v>0.0</v>
      </c>
      <c r="G77" s="19">
        <v>0.0</v>
      </c>
      <c r="H77" s="6">
        <f>E77*PV_SESSION+F77*PV_CHALLENGE+G77*PV_WIN</f>
        <v>0</v>
      </c>
    </row>
    <row r="78" ht="15.75" customHeight="1">
      <c r="A78" s="7" t="s">
        <v>150</v>
      </c>
      <c r="B78" s="7" t="s">
        <v>151</v>
      </c>
      <c r="C78" s="7" t="s">
        <v>356</v>
      </c>
      <c r="D78" s="7" t="s">
        <v>281</v>
      </c>
      <c r="E78" s="19">
        <v>0.0</v>
      </c>
      <c r="F78" s="19">
        <v>0.0</v>
      </c>
      <c r="G78" s="19">
        <v>0.0</v>
      </c>
      <c r="H78" s="6">
        <f>E78*PV_SESSION+F78*PV_CHALLENGE+G78*PV_WIN</f>
        <v>0</v>
      </c>
    </row>
    <row r="79" ht="15.75" customHeight="1">
      <c r="A79" s="7" t="s">
        <v>152</v>
      </c>
      <c r="B79" s="7" t="s">
        <v>153</v>
      </c>
      <c r="C79" s="7" t="s">
        <v>357</v>
      </c>
      <c r="D79" s="7" t="s">
        <v>279</v>
      </c>
      <c r="E79" s="19">
        <v>0.0</v>
      </c>
      <c r="F79" s="19">
        <v>0.0</v>
      </c>
      <c r="G79" s="19">
        <v>0.0</v>
      </c>
      <c r="H79" s="6">
        <f>E79*PV_SESSION+F79*PV_CHALLENGE+G79*PV_WIN</f>
        <v>0</v>
      </c>
    </row>
    <row r="80" ht="15.75" customHeight="1">
      <c r="A80" s="7" t="s">
        <v>154</v>
      </c>
      <c r="B80" s="7" t="s">
        <v>155</v>
      </c>
      <c r="C80" s="7" t="s">
        <v>358</v>
      </c>
      <c r="D80" s="7" t="s">
        <v>279</v>
      </c>
      <c r="E80" s="19">
        <v>0.0</v>
      </c>
      <c r="F80" s="19">
        <v>0.0</v>
      </c>
      <c r="G80" s="19">
        <v>0.0</v>
      </c>
      <c r="H80" s="6">
        <f>E80*PV_SESSION+F80*PV_CHALLENGE+G80*PV_WIN</f>
        <v>0</v>
      </c>
    </row>
    <row r="81" ht="15.75" customHeight="1">
      <c r="A81" s="7" t="s">
        <v>154</v>
      </c>
      <c r="B81" s="7" t="s">
        <v>155</v>
      </c>
      <c r="C81" s="7" t="s">
        <v>359</v>
      </c>
      <c r="D81" s="7" t="s">
        <v>281</v>
      </c>
      <c r="E81" s="19">
        <v>0.0</v>
      </c>
      <c r="F81" s="19">
        <v>0.0</v>
      </c>
      <c r="G81" s="19">
        <v>0.0</v>
      </c>
      <c r="H81" s="6">
        <f>E81*PV_SESSION+F81*PV_CHALLENGE+G81*PV_WIN</f>
        <v>0</v>
      </c>
    </row>
    <row r="82" ht="15.75" customHeight="1">
      <c r="A82" s="7" t="s">
        <v>154</v>
      </c>
      <c r="B82" s="7" t="s">
        <v>155</v>
      </c>
      <c r="C82" s="7" t="s">
        <v>360</v>
      </c>
      <c r="D82" s="7" t="s">
        <v>281</v>
      </c>
      <c r="E82" s="19">
        <v>0.0</v>
      </c>
      <c r="F82" s="19">
        <v>0.0</v>
      </c>
      <c r="G82" s="19">
        <v>0.0</v>
      </c>
      <c r="H82" s="6">
        <f>E82*PV_SESSION+F82*PV_CHALLENGE+G82*PV_WIN</f>
        <v>0</v>
      </c>
    </row>
    <row r="83" ht="15.75" customHeight="1">
      <c r="A83" s="7" t="s">
        <v>156</v>
      </c>
      <c r="B83" s="7" t="s">
        <v>157</v>
      </c>
      <c r="C83" s="7" t="s">
        <v>361</v>
      </c>
      <c r="D83" s="7" t="s">
        <v>279</v>
      </c>
      <c r="E83" s="19">
        <v>0.0</v>
      </c>
      <c r="F83" s="19">
        <v>0.0</v>
      </c>
      <c r="G83" s="19">
        <v>0.0</v>
      </c>
      <c r="H83" s="6">
        <f>E83*PV_SESSION+F83*PV_CHALLENGE+G83*PV_WIN</f>
        <v>0</v>
      </c>
    </row>
    <row r="84" ht="15.75" customHeight="1">
      <c r="A84" s="7" t="s">
        <v>156</v>
      </c>
      <c r="B84" s="7" t="s">
        <v>157</v>
      </c>
      <c r="C84" s="7" t="s">
        <v>362</v>
      </c>
      <c r="D84" s="7" t="s">
        <v>281</v>
      </c>
      <c r="E84" s="19">
        <v>0.0</v>
      </c>
      <c r="F84" s="19">
        <v>0.0</v>
      </c>
      <c r="G84" s="19">
        <v>0.0</v>
      </c>
      <c r="H84" s="6">
        <f>E84*PV_SESSION+F84*PV_CHALLENGE+G84*PV_WIN</f>
        <v>0</v>
      </c>
    </row>
    <row r="85" ht="15.75" customHeight="1">
      <c r="A85" s="7" t="s">
        <v>158</v>
      </c>
      <c r="B85" s="7" t="s">
        <v>159</v>
      </c>
      <c r="C85" s="7" t="s">
        <v>363</v>
      </c>
      <c r="D85" s="7" t="s">
        <v>279</v>
      </c>
      <c r="E85" s="19">
        <v>0.0</v>
      </c>
      <c r="F85" s="19">
        <v>0.0</v>
      </c>
      <c r="G85" s="19">
        <v>0.0</v>
      </c>
      <c r="H85" s="6">
        <f>E85*PV_SESSION+F85*PV_CHALLENGE+G85*PV_WIN</f>
        <v>0</v>
      </c>
    </row>
    <row r="86" ht="15.75" customHeight="1">
      <c r="A86" s="7" t="s">
        <v>158</v>
      </c>
      <c r="B86" s="7" t="s">
        <v>159</v>
      </c>
      <c r="C86" s="7" t="s">
        <v>364</v>
      </c>
      <c r="D86" s="7" t="s">
        <v>281</v>
      </c>
      <c r="E86" s="19">
        <v>0.0</v>
      </c>
      <c r="F86" s="19">
        <v>0.0</v>
      </c>
      <c r="G86" s="19">
        <v>0.0</v>
      </c>
      <c r="H86" s="6">
        <f>E86*PV_SESSION+F86*PV_CHALLENGE+G86*PV_WIN</f>
        <v>0</v>
      </c>
    </row>
    <row r="87" ht="15.75" customHeight="1">
      <c r="A87" s="7" t="s">
        <v>160</v>
      </c>
      <c r="B87" s="7" t="s">
        <v>161</v>
      </c>
      <c r="C87" s="7" t="s">
        <v>365</v>
      </c>
      <c r="D87" s="7" t="s">
        <v>279</v>
      </c>
      <c r="E87" s="19">
        <v>0.0</v>
      </c>
      <c r="F87" s="19">
        <v>0.0</v>
      </c>
      <c r="G87" s="19">
        <v>0.0</v>
      </c>
      <c r="H87" s="6">
        <f>E87*PV_SESSION+F87*PV_CHALLENGE+G87*PV_WIN</f>
        <v>0</v>
      </c>
    </row>
    <row r="88" ht="15.75" customHeight="1">
      <c r="A88" s="7" t="s">
        <v>160</v>
      </c>
      <c r="B88" s="7" t="s">
        <v>161</v>
      </c>
      <c r="C88" s="7" t="s">
        <v>366</v>
      </c>
      <c r="D88" s="7" t="s">
        <v>281</v>
      </c>
      <c r="E88" s="19">
        <v>0.0</v>
      </c>
      <c r="F88" s="19">
        <v>0.0</v>
      </c>
      <c r="G88" s="19">
        <v>0.0</v>
      </c>
      <c r="H88" s="6">
        <f>E88*PV_SESSION+F88*PV_CHALLENGE+G88*PV_WIN</f>
        <v>0</v>
      </c>
    </row>
    <row r="89" ht="15.75" customHeight="1">
      <c r="A89" s="7" t="s">
        <v>162</v>
      </c>
      <c r="B89" s="7" t="s">
        <v>163</v>
      </c>
      <c r="C89" s="7" t="s">
        <v>367</v>
      </c>
      <c r="D89" s="7" t="s">
        <v>279</v>
      </c>
      <c r="E89" s="19">
        <v>0.0</v>
      </c>
      <c r="F89" s="19">
        <v>0.0</v>
      </c>
      <c r="G89" s="19">
        <v>0.0</v>
      </c>
      <c r="H89" s="6">
        <f>E89*PV_SESSION+F89*PV_CHALLENGE+G89*PV_WIN</f>
        <v>0</v>
      </c>
    </row>
    <row r="90" ht="15.75" customHeight="1">
      <c r="A90" s="7" t="s">
        <v>164</v>
      </c>
      <c r="B90" s="7" t="s">
        <v>165</v>
      </c>
      <c r="C90" s="7" t="s">
        <v>368</v>
      </c>
      <c r="D90" s="7" t="s">
        <v>279</v>
      </c>
      <c r="E90" s="19">
        <v>0.0</v>
      </c>
      <c r="F90" s="18">
        <v>1.0</v>
      </c>
      <c r="G90" s="19">
        <v>0.0</v>
      </c>
      <c r="H90" s="6">
        <f>E90*PV_SESSION+F90*PV_CHALLENGE+G90*PV_WIN</f>
        <v>20</v>
      </c>
    </row>
    <row r="91" ht="15.75" customHeight="1">
      <c r="A91" s="7" t="s">
        <v>164</v>
      </c>
      <c r="B91" s="7" t="s">
        <v>165</v>
      </c>
      <c r="C91" s="7" t="s">
        <v>369</v>
      </c>
      <c r="D91" s="7" t="s">
        <v>281</v>
      </c>
      <c r="E91" s="19">
        <v>0.0</v>
      </c>
      <c r="F91" s="18">
        <v>1.0</v>
      </c>
      <c r="G91" s="19">
        <v>0.0</v>
      </c>
      <c r="H91" s="6">
        <f>E91*PV_SESSION+F91*PV_CHALLENGE+G91*PV_WIN</f>
        <v>20</v>
      </c>
    </row>
    <row r="92" ht="15.75" customHeight="1">
      <c r="A92" s="7" t="s">
        <v>164</v>
      </c>
      <c r="B92" s="7" t="s">
        <v>165</v>
      </c>
      <c r="C92" s="7" t="s">
        <v>370</v>
      </c>
      <c r="D92" s="7" t="s">
        <v>281</v>
      </c>
      <c r="E92" s="19">
        <v>0.0</v>
      </c>
      <c r="F92" s="19">
        <v>0.0</v>
      </c>
      <c r="G92" s="19">
        <v>0.0</v>
      </c>
      <c r="H92" s="6">
        <f>E92*PV_SESSION+F92*PV_CHALLENGE+G92*PV_WIN</f>
        <v>0</v>
      </c>
    </row>
    <row r="93" ht="15.75" customHeight="1">
      <c r="A93" s="7" t="s">
        <v>167</v>
      </c>
      <c r="B93" s="7" t="s">
        <v>168</v>
      </c>
      <c r="C93" s="7" t="s">
        <v>289</v>
      </c>
      <c r="D93" s="7" t="s">
        <v>279</v>
      </c>
      <c r="E93" s="19">
        <v>0.0</v>
      </c>
      <c r="F93" s="19">
        <v>0.0</v>
      </c>
      <c r="G93" s="19">
        <v>0.0</v>
      </c>
      <c r="H93" s="6">
        <f>E93*PV_SESSION+F93*PV_CHALLENGE+G93*PV_WIN</f>
        <v>0</v>
      </c>
    </row>
    <row r="94" ht="15.75" customHeight="1">
      <c r="A94" s="7" t="s">
        <v>167</v>
      </c>
      <c r="B94" s="7" t="s">
        <v>168</v>
      </c>
      <c r="C94" s="7" t="s">
        <v>371</v>
      </c>
      <c r="D94" s="7" t="s">
        <v>281</v>
      </c>
      <c r="E94" s="19">
        <v>0.0</v>
      </c>
      <c r="F94" s="19">
        <v>0.0</v>
      </c>
      <c r="G94" s="19">
        <v>0.0</v>
      </c>
      <c r="H94" s="6">
        <f>E94*PV_SESSION+F94*PV_CHALLENGE+G94*PV_WIN</f>
        <v>0</v>
      </c>
    </row>
    <row r="95" ht="15.75" customHeight="1">
      <c r="A95" s="7" t="s">
        <v>169</v>
      </c>
      <c r="B95" s="7" t="s">
        <v>170</v>
      </c>
      <c r="C95" s="7" t="s">
        <v>372</v>
      </c>
      <c r="D95" s="7" t="s">
        <v>279</v>
      </c>
      <c r="E95" s="19">
        <v>0.0</v>
      </c>
      <c r="F95" s="19">
        <v>0.0</v>
      </c>
      <c r="G95" s="19">
        <v>0.0</v>
      </c>
      <c r="H95" s="6">
        <f>E95*PV_SESSION+F95*PV_CHALLENGE+G95*PV_WIN</f>
        <v>0</v>
      </c>
    </row>
    <row r="96" ht="15.75" customHeight="1">
      <c r="A96" s="7" t="s">
        <v>169</v>
      </c>
      <c r="B96" s="7" t="s">
        <v>170</v>
      </c>
      <c r="C96" s="7" t="s">
        <v>373</v>
      </c>
      <c r="D96" s="7" t="s">
        <v>281</v>
      </c>
      <c r="E96" s="19">
        <v>0.0</v>
      </c>
      <c r="F96" s="19">
        <v>0.0</v>
      </c>
      <c r="G96" s="19">
        <v>0.0</v>
      </c>
      <c r="H96" s="6">
        <f>E96*PV_SESSION+F96*PV_CHALLENGE+G96*PV_WIN</f>
        <v>0</v>
      </c>
    </row>
    <row r="97" ht="15.75" customHeight="1">
      <c r="A97" s="7" t="s">
        <v>171</v>
      </c>
      <c r="B97" s="7" t="s">
        <v>172</v>
      </c>
      <c r="C97" s="7" t="s">
        <v>374</v>
      </c>
      <c r="D97" s="7" t="s">
        <v>279</v>
      </c>
      <c r="E97" s="19">
        <v>0.0</v>
      </c>
      <c r="F97" s="19">
        <v>0.0</v>
      </c>
      <c r="G97" s="19">
        <v>0.0</v>
      </c>
      <c r="H97" s="6">
        <f>E97*PV_SESSION+F97*PV_CHALLENGE+G97*PV_WIN</f>
        <v>0</v>
      </c>
    </row>
    <row r="98" ht="15.75" customHeight="1">
      <c r="A98" s="7" t="s">
        <v>173</v>
      </c>
      <c r="B98" s="7" t="s">
        <v>174</v>
      </c>
      <c r="C98" s="7" t="s">
        <v>375</v>
      </c>
      <c r="D98" s="7" t="s">
        <v>279</v>
      </c>
      <c r="E98" s="19">
        <v>0.0</v>
      </c>
      <c r="F98" s="18">
        <v>1.0</v>
      </c>
      <c r="G98" s="19">
        <v>0.0</v>
      </c>
      <c r="H98" s="6">
        <f>E98*PV_SESSION+F98*PV_CHALLENGE+G98*PV_WIN</f>
        <v>20</v>
      </c>
    </row>
    <row r="99" ht="15.75" customHeight="1">
      <c r="A99" s="7" t="s">
        <v>173</v>
      </c>
      <c r="B99" s="7" t="s">
        <v>174</v>
      </c>
      <c r="C99" s="7" t="s">
        <v>376</v>
      </c>
      <c r="D99" s="7" t="s">
        <v>281</v>
      </c>
      <c r="E99" s="19">
        <v>0.0</v>
      </c>
      <c r="F99" s="18">
        <v>1.0</v>
      </c>
      <c r="G99" s="19">
        <v>0.0</v>
      </c>
      <c r="H99" s="6">
        <f>E99*PV_SESSION+F99*PV_CHALLENGE+G99*PV_WIN</f>
        <v>20</v>
      </c>
    </row>
    <row r="100" ht="15.75" customHeight="1">
      <c r="A100" s="7" t="s">
        <v>173</v>
      </c>
      <c r="B100" s="7" t="s">
        <v>174</v>
      </c>
      <c r="C100" s="7" t="s">
        <v>377</v>
      </c>
      <c r="D100" s="7" t="s">
        <v>281</v>
      </c>
      <c r="E100" s="19">
        <v>0.0</v>
      </c>
      <c r="F100" s="18">
        <v>1.0</v>
      </c>
      <c r="G100" s="19">
        <v>0.0</v>
      </c>
      <c r="H100" s="6">
        <f>E100*PV_SESSION+F100*PV_CHALLENGE+G100*PV_WIN</f>
        <v>20</v>
      </c>
    </row>
    <row r="101" ht="15.75" customHeight="1">
      <c r="A101" s="7" t="s">
        <v>175</v>
      </c>
      <c r="B101" s="7" t="s">
        <v>176</v>
      </c>
      <c r="C101" s="7" t="s">
        <v>378</v>
      </c>
      <c r="D101" s="7" t="s">
        <v>279</v>
      </c>
      <c r="E101" s="19">
        <v>0.0</v>
      </c>
      <c r="F101" s="19">
        <v>0.0</v>
      </c>
      <c r="G101" s="19">
        <v>0.0</v>
      </c>
      <c r="H101" s="6">
        <f>E101*PV_SESSION+F101*PV_CHALLENGE+G101*PV_WIN</f>
        <v>0</v>
      </c>
    </row>
    <row r="102" ht="15.75" customHeight="1">
      <c r="A102" s="7" t="s">
        <v>175</v>
      </c>
      <c r="B102" s="7" t="s">
        <v>176</v>
      </c>
      <c r="C102" s="7" t="s">
        <v>379</v>
      </c>
      <c r="D102" s="7" t="s">
        <v>281</v>
      </c>
      <c r="E102" s="19">
        <v>0.0</v>
      </c>
      <c r="F102" s="19">
        <v>0.0</v>
      </c>
      <c r="G102" s="19">
        <v>0.0</v>
      </c>
      <c r="H102" s="6">
        <f>E102*PV_SESSION+F102*PV_CHALLENGE+G102*PV_WIN</f>
        <v>0</v>
      </c>
    </row>
    <row r="103" ht="15.75" customHeight="1">
      <c r="A103" s="7" t="s">
        <v>175</v>
      </c>
      <c r="B103" s="7" t="s">
        <v>176</v>
      </c>
      <c r="C103" s="7" t="s">
        <v>380</v>
      </c>
      <c r="D103" s="7" t="s">
        <v>281</v>
      </c>
      <c r="E103" s="19">
        <v>0.0</v>
      </c>
      <c r="F103" s="19">
        <v>0.0</v>
      </c>
      <c r="G103" s="19">
        <v>0.0</v>
      </c>
      <c r="H103" s="6">
        <f>E103*PV_SESSION+F103*PV_CHALLENGE+G103*PV_WIN</f>
        <v>0</v>
      </c>
    </row>
    <row r="104" ht="15.75" customHeight="1">
      <c r="A104" s="7" t="s">
        <v>177</v>
      </c>
      <c r="B104" s="7" t="s">
        <v>178</v>
      </c>
      <c r="C104" s="7" t="s">
        <v>381</v>
      </c>
      <c r="D104" s="7" t="s">
        <v>279</v>
      </c>
      <c r="E104" s="19">
        <v>0.0</v>
      </c>
      <c r="F104" s="19">
        <v>0.0</v>
      </c>
      <c r="G104" s="19">
        <v>0.0</v>
      </c>
      <c r="H104" s="6">
        <f>E104*PV_SESSION+F104*PV_CHALLENGE+G104*PV_WIN</f>
        <v>0</v>
      </c>
    </row>
    <row r="105" ht="15.75" customHeight="1">
      <c r="A105" s="7" t="s">
        <v>177</v>
      </c>
      <c r="B105" s="7" t="s">
        <v>178</v>
      </c>
      <c r="C105" s="7" t="s">
        <v>382</v>
      </c>
      <c r="D105" s="7" t="s">
        <v>281</v>
      </c>
      <c r="E105" s="19">
        <v>0.0</v>
      </c>
      <c r="F105" s="19">
        <v>0.0</v>
      </c>
      <c r="G105" s="19">
        <v>0.0</v>
      </c>
      <c r="H105" s="6">
        <f>E105*PV_SESSION+F105*PV_CHALLENGE+G105*PV_WIN</f>
        <v>0</v>
      </c>
    </row>
    <row r="106" ht="15.75" customHeight="1">
      <c r="A106" s="7" t="s">
        <v>179</v>
      </c>
      <c r="B106" s="7" t="s">
        <v>180</v>
      </c>
      <c r="C106" s="7" t="s">
        <v>383</v>
      </c>
      <c r="D106" s="7" t="s">
        <v>279</v>
      </c>
      <c r="E106" s="19">
        <v>0.0</v>
      </c>
      <c r="F106" s="19">
        <v>0.0</v>
      </c>
      <c r="G106" s="19">
        <v>0.0</v>
      </c>
      <c r="H106" s="6">
        <f>E106*PV_SESSION+F106*PV_CHALLENGE+G106*PV_WIN</f>
        <v>0</v>
      </c>
    </row>
    <row r="107" ht="15.75" customHeight="1">
      <c r="A107" s="7" t="s">
        <v>179</v>
      </c>
      <c r="B107" s="7" t="s">
        <v>180</v>
      </c>
      <c r="C107" s="7" t="s">
        <v>384</v>
      </c>
      <c r="D107" s="7" t="s">
        <v>281</v>
      </c>
      <c r="E107" s="19">
        <v>0.0</v>
      </c>
      <c r="F107" s="19">
        <v>0.0</v>
      </c>
      <c r="G107" s="19">
        <v>0.0</v>
      </c>
      <c r="H107" s="6">
        <f>E107*PV_SESSION+F107*PV_CHALLENGE+G107*PV_WIN</f>
        <v>0</v>
      </c>
    </row>
    <row r="108" ht="15.75" customHeight="1">
      <c r="A108" s="7" t="s">
        <v>179</v>
      </c>
      <c r="B108" s="7" t="s">
        <v>180</v>
      </c>
      <c r="C108" s="7" t="s">
        <v>385</v>
      </c>
      <c r="D108" s="7" t="s">
        <v>281</v>
      </c>
      <c r="E108" s="19">
        <v>0.0</v>
      </c>
      <c r="F108" s="19">
        <v>0.0</v>
      </c>
      <c r="G108" s="19">
        <v>0.0</v>
      </c>
      <c r="H108" s="6">
        <f>E108*PV_SESSION+F108*PV_CHALLENGE+G108*PV_WIN</f>
        <v>0</v>
      </c>
    </row>
    <row r="109" ht="15.75" customHeight="1">
      <c r="A109" s="7" t="s">
        <v>179</v>
      </c>
      <c r="B109" s="7" t="s">
        <v>180</v>
      </c>
      <c r="C109" s="7" t="s">
        <v>386</v>
      </c>
      <c r="D109" s="7" t="s">
        <v>281</v>
      </c>
      <c r="E109" s="19">
        <v>0.0</v>
      </c>
      <c r="F109" s="19">
        <v>0.0</v>
      </c>
      <c r="G109" s="19">
        <v>0.0</v>
      </c>
      <c r="H109" s="6">
        <f>E109*PV_SESSION+F109*PV_CHALLENGE+G109*PV_WIN</f>
        <v>0</v>
      </c>
    </row>
    <row r="110" ht="15.75" customHeight="1">
      <c r="A110" s="7" t="s">
        <v>181</v>
      </c>
      <c r="B110" s="7" t="s">
        <v>182</v>
      </c>
      <c r="C110" s="7" t="s">
        <v>387</v>
      </c>
      <c r="D110" s="7" t="s">
        <v>279</v>
      </c>
      <c r="E110" s="19">
        <v>0.0</v>
      </c>
      <c r="F110" s="19">
        <v>0.0</v>
      </c>
      <c r="G110" s="19">
        <v>0.0</v>
      </c>
      <c r="H110" s="6">
        <f>E110*PV_SESSION+F110*PV_CHALLENGE+G110*PV_WIN</f>
        <v>0</v>
      </c>
    </row>
    <row r="111" ht="15.75" customHeight="1">
      <c r="A111" s="7" t="s">
        <v>181</v>
      </c>
      <c r="B111" s="7" t="s">
        <v>182</v>
      </c>
      <c r="C111" s="7" t="s">
        <v>388</v>
      </c>
      <c r="D111" s="7" t="s">
        <v>281</v>
      </c>
      <c r="E111" s="19">
        <v>0.0</v>
      </c>
      <c r="F111" s="19">
        <v>0.0</v>
      </c>
      <c r="G111" s="19">
        <v>0.0</v>
      </c>
      <c r="H111" s="6">
        <f>E111*PV_SESSION+F111*PV_CHALLENGE+G111*PV_WIN</f>
        <v>0</v>
      </c>
    </row>
    <row r="112" ht="15.75" customHeight="1">
      <c r="A112" s="7" t="s">
        <v>183</v>
      </c>
      <c r="B112" s="7" t="s">
        <v>184</v>
      </c>
      <c r="C112" s="7" t="s">
        <v>389</v>
      </c>
      <c r="D112" s="7" t="s">
        <v>279</v>
      </c>
      <c r="E112" s="19">
        <v>0.0</v>
      </c>
      <c r="F112" s="19">
        <v>0.0</v>
      </c>
      <c r="G112" s="19">
        <v>0.0</v>
      </c>
      <c r="H112" s="6">
        <f>E112*PV_SESSION+F112*PV_CHALLENGE+G112*PV_WIN</f>
        <v>0</v>
      </c>
    </row>
    <row r="113" ht="15.75" customHeight="1">
      <c r="A113" s="7" t="s">
        <v>183</v>
      </c>
      <c r="B113" s="7" t="s">
        <v>184</v>
      </c>
      <c r="C113" s="7" t="s">
        <v>390</v>
      </c>
      <c r="D113" s="7" t="s">
        <v>281</v>
      </c>
      <c r="E113" s="19">
        <v>0.0</v>
      </c>
      <c r="F113" s="19">
        <v>0.0</v>
      </c>
      <c r="G113" s="19">
        <v>0.0</v>
      </c>
      <c r="H113" s="6">
        <f>E113*PV_SESSION+F113*PV_CHALLENGE+G113*PV_WIN</f>
        <v>0</v>
      </c>
    </row>
    <row r="114" ht="15.75" customHeight="1">
      <c r="A114" s="7" t="s">
        <v>185</v>
      </c>
      <c r="B114" s="7" t="s">
        <v>186</v>
      </c>
      <c r="C114" s="7" t="s">
        <v>391</v>
      </c>
      <c r="D114" s="7" t="s">
        <v>279</v>
      </c>
      <c r="E114" s="19">
        <v>0.0</v>
      </c>
      <c r="F114" s="18">
        <v>1.0</v>
      </c>
      <c r="G114" s="19">
        <v>0.0</v>
      </c>
      <c r="H114" s="6">
        <f>E114*PV_SESSION+F114*PV_CHALLENGE+G114*PV_WIN</f>
        <v>20</v>
      </c>
    </row>
    <row r="115" ht="15.75" customHeight="1">
      <c r="A115" s="7" t="s">
        <v>185</v>
      </c>
      <c r="B115" s="7" t="s">
        <v>186</v>
      </c>
      <c r="C115" s="7" t="s">
        <v>392</v>
      </c>
      <c r="D115" s="7" t="s">
        <v>281</v>
      </c>
      <c r="E115" s="19">
        <v>0.0</v>
      </c>
      <c r="F115" s="18">
        <v>1.0</v>
      </c>
      <c r="G115" s="19">
        <v>0.0</v>
      </c>
      <c r="H115" s="6">
        <f>E115*PV_SESSION+F115*PV_CHALLENGE+G115*PV_WIN</f>
        <v>20</v>
      </c>
    </row>
    <row r="116" ht="15.75" customHeight="1">
      <c r="A116" s="7" t="s">
        <v>185</v>
      </c>
      <c r="B116" s="7" t="s">
        <v>186</v>
      </c>
      <c r="C116" s="7" t="s">
        <v>393</v>
      </c>
      <c r="D116" s="7" t="s">
        <v>281</v>
      </c>
      <c r="E116" s="19">
        <v>0.0</v>
      </c>
      <c r="F116" s="18">
        <v>1.0</v>
      </c>
      <c r="G116" s="19">
        <v>0.0</v>
      </c>
      <c r="H116" s="6">
        <f>E116*PV_SESSION+F116*PV_CHALLENGE+G116*PV_WIN</f>
        <v>20</v>
      </c>
    </row>
    <row r="117" ht="15.75" customHeight="1">
      <c r="A117" s="7" t="s">
        <v>187</v>
      </c>
      <c r="B117" s="7" t="s">
        <v>188</v>
      </c>
      <c r="C117" s="7" t="s">
        <v>394</v>
      </c>
      <c r="D117" s="7" t="s">
        <v>279</v>
      </c>
      <c r="E117" s="19">
        <v>0.0</v>
      </c>
      <c r="F117" s="19">
        <v>0.0</v>
      </c>
      <c r="G117" s="19">
        <v>0.0</v>
      </c>
      <c r="H117" s="6">
        <f>E117*PV_SESSION+F117*PV_CHALLENGE+G117*PV_WIN</f>
        <v>0</v>
      </c>
    </row>
    <row r="118" ht="15.75" customHeight="1">
      <c r="A118" s="7" t="s">
        <v>187</v>
      </c>
      <c r="B118" s="7" t="s">
        <v>188</v>
      </c>
      <c r="C118" s="7" t="s">
        <v>395</v>
      </c>
      <c r="D118" s="7" t="s">
        <v>281</v>
      </c>
      <c r="E118" s="19">
        <v>0.0</v>
      </c>
      <c r="F118" s="19">
        <v>0.0</v>
      </c>
      <c r="G118" s="19">
        <v>0.0</v>
      </c>
      <c r="H118" s="6">
        <f>E118*PV_SESSION+F118*PV_CHALLENGE+G118*PV_WIN</f>
        <v>0</v>
      </c>
    </row>
    <row r="119" ht="15.75" customHeight="1">
      <c r="A119" s="7" t="s">
        <v>187</v>
      </c>
      <c r="B119" s="7" t="s">
        <v>188</v>
      </c>
      <c r="C119" s="7" t="s">
        <v>396</v>
      </c>
      <c r="D119" s="7" t="s">
        <v>281</v>
      </c>
      <c r="E119" s="19">
        <v>0.0</v>
      </c>
      <c r="F119" s="19">
        <v>0.0</v>
      </c>
      <c r="G119" s="19">
        <v>0.0</v>
      </c>
      <c r="H119" s="6">
        <f>E119*PV_SESSION+F119*PV_CHALLENGE+G119*PV_WIN</f>
        <v>0</v>
      </c>
    </row>
    <row r="120" ht="15.75" customHeight="1">
      <c r="A120" s="7" t="s">
        <v>189</v>
      </c>
      <c r="B120" s="7" t="s">
        <v>190</v>
      </c>
      <c r="C120" s="7" t="s">
        <v>397</v>
      </c>
      <c r="D120" s="7" t="s">
        <v>279</v>
      </c>
      <c r="E120" s="19">
        <v>0.0</v>
      </c>
      <c r="F120" s="19">
        <v>0.0</v>
      </c>
      <c r="G120" s="19">
        <v>0.0</v>
      </c>
      <c r="H120" s="6">
        <f>E120*PV_SESSION+F120*PV_CHALLENGE+G120*PV_WIN</f>
        <v>0</v>
      </c>
    </row>
    <row r="121" ht="15.75" customHeight="1">
      <c r="A121" s="7" t="s">
        <v>191</v>
      </c>
      <c r="B121" s="7" t="s">
        <v>192</v>
      </c>
      <c r="C121" s="7" t="s">
        <v>398</v>
      </c>
      <c r="D121" s="7" t="s">
        <v>279</v>
      </c>
      <c r="E121" s="19">
        <v>0.0</v>
      </c>
      <c r="F121" s="19">
        <v>0.0</v>
      </c>
      <c r="G121" s="19">
        <v>0.0</v>
      </c>
      <c r="H121" s="6">
        <f>E121*PV_SESSION+F121*PV_CHALLENGE+G121*PV_WIN</f>
        <v>0</v>
      </c>
    </row>
    <row r="122" ht="15.75" customHeight="1">
      <c r="A122" s="7" t="s">
        <v>193</v>
      </c>
      <c r="B122" s="7" t="s">
        <v>194</v>
      </c>
      <c r="C122" s="7" t="s">
        <v>399</v>
      </c>
      <c r="D122" s="7" t="s">
        <v>279</v>
      </c>
      <c r="E122" s="19">
        <v>0.0</v>
      </c>
      <c r="F122" s="19">
        <v>0.0</v>
      </c>
      <c r="G122" s="19">
        <v>0.0</v>
      </c>
      <c r="H122" s="6">
        <f>E122*PV_SESSION+F122*PV_CHALLENGE+G122*PV_WIN</f>
        <v>0</v>
      </c>
    </row>
    <row r="123" ht="15.75" customHeight="1">
      <c r="A123" s="7" t="s">
        <v>195</v>
      </c>
      <c r="B123" s="7" t="s">
        <v>196</v>
      </c>
      <c r="C123" s="7" t="s">
        <v>400</v>
      </c>
      <c r="D123" s="7" t="s">
        <v>279</v>
      </c>
      <c r="E123" s="19">
        <v>0.0</v>
      </c>
      <c r="F123" s="19">
        <v>0.0</v>
      </c>
      <c r="G123" s="19">
        <v>0.0</v>
      </c>
      <c r="H123" s="6">
        <f>E123*PV_SESSION+F123*PV_CHALLENGE+G123*PV_WIN</f>
        <v>0</v>
      </c>
    </row>
    <row r="124" ht="15.75" customHeight="1">
      <c r="A124" s="7" t="s">
        <v>197</v>
      </c>
      <c r="B124" s="7" t="s">
        <v>198</v>
      </c>
      <c r="C124" s="7" t="s">
        <v>401</v>
      </c>
      <c r="D124" s="7" t="s">
        <v>279</v>
      </c>
      <c r="E124" s="19">
        <v>0.0</v>
      </c>
      <c r="F124" s="19">
        <v>0.0</v>
      </c>
      <c r="G124" s="19">
        <v>0.0</v>
      </c>
      <c r="H124" s="6">
        <f>E124*PV_SESSION+F124*PV_CHALLENGE+G124*PV_WIN</f>
        <v>0</v>
      </c>
    </row>
    <row r="125" ht="15.75" customHeight="1">
      <c r="A125" s="7" t="s">
        <v>197</v>
      </c>
      <c r="B125" s="7" t="s">
        <v>198</v>
      </c>
      <c r="C125" s="7" t="s">
        <v>402</v>
      </c>
      <c r="D125" s="7" t="s">
        <v>281</v>
      </c>
      <c r="E125" s="19">
        <v>0.0</v>
      </c>
      <c r="F125" s="19">
        <v>0.0</v>
      </c>
      <c r="G125" s="19">
        <v>0.0</v>
      </c>
      <c r="H125" s="6">
        <f>E125*PV_SESSION+F125*PV_CHALLENGE+G125*PV_WIN</f>
        <v>0</v>
      </c>
    </row>
    <row r="126" ht="15.75" customHeight="1">
      <c r="A126" s="7" t="s">
        <v>199</v>
      </c>
      <c r="B126" s="7" t="s">
        <v>200</v>
      </c>
      <c r="C126" s="7" t="s">
        <v>403</v>
      </c>
      <c r="D126" s="7" t="s">
        <v>279</v>
      </c>
      <c r="E126" s="19">
        <v>0.0</v>
      </c>
      <c r="F126" s="19">
        <v>0.0</v>
      </c>
      <c r="G126" s="19">
        <v>0.0</v>
      </c>
      <c r="H126" s="6">
        <f>E126*PV_SESSION+F126*PV_CHALLENGE+G126*PV_WIN</f>
        <v>0</v>
      </c>
    </row>
    <row r="127" ht="15.75" customHeight="1">
      <c r="A127" s="7" t="s">
        <v>201</v>
      </c>
      <c r="B127" s="7" t="s">
        <v>202</v>
      </c>
      <c r="C127" s="7" t="s">
        <v>404</v>
      </c>
      <c r="D127" s="7" t="s">
        <v>279</v>
      </c>
      <c r="E127" s="19">
        <v>0.0</v>
      </c>
      <c r="F127" s="19">
        <v>0.0</v>
      </c>
      <c r="G127" s="19">
        <v>0.0</v>
      </c>
      <c r="H127" s="6">
        <f>E127*PV_SESSION+F127*PV_CHALLENGE+G127*PV_WIN</f>
        <v>0</v>
      </c>
    </row>
    <row r="128" ht="15.75" customHeight="1">
      <c r="A128" s="7" t="s">
        <v>203</v>
      </c>
      <c r="B128" s="7" t="s">
        <v>204</v>
      </c>
      <c r="C128" s="7" t="s">
        <v>405</v>
      </c>
      <c r="D128" s="7" t="s">
        <v>279</v>
      </c>
      <c r="E128" s="19">
        <v>0.0</v>
      </c>
      <c r="F128" s="19">
        <v>0.0</v>
      </c>
      <c r="G128" s="19">
        <v>0.0</v>
      </c>
      <c r="H128" s="6">
        <f>E128*PV_SESSION+F128*PV_CHALLENGE+G128*PV_WIN</f>
        <v>0</v>
      </c>
    </row>
    <row r="129" ht="15.75" customHeight="1">
      <c r="A129" s="7" t="s">
        <v>203</v>
      </c>
      <c r="B129" s="7" t="s">
        <v>204</v>
      </c>
      <c r="C129" s="7" t="s">
        <v>406</v>
      </c>
      <c r="D129" s="7" t="s">
        <v>281</v>
      </c>
      <c r="E129" s="19">
        <v>0.0</v>
      </c>
      <c r="F129" s="19">
        <v>0.0</v>
      </c>
      <c r="G129" s="19">
        <v>0.0</v>
      </c>
      <c r="H129" s="6">
        <f>E129*PV_SESSION+F129*PV_CHALLENGE+G129*PV_WIN</f>
        <v>0</v>
      </c>
    </row>
    <row r="130" ht="15.75" customHeight="1">
      <c r="A130" s="7" t="s">
        <v>205</v>
      </c>
      <c r="B130" s="7" t="s">
        <v>206</v>
      </c>
      <c r="C130" s="7" t="s">
        <v>407</v>
      </c>
      <c r="D130" s="7" t="s">
        <v>279</v>
      </c>
      <c r="E130" s="19">
        <v>0.0</v>
      </c>
      <c r="F130" s="19">
        <v>0.0</v>
      </c>
      <c r="G130" s="19">
        <v>0.0</v>
      </c>
      <c r="H130" s="6">
        <f>E130*PV_SESSION+F130*PV_CHALLENGE+G130*PV_WIN</f>
        <v>0</v>
      </c>
    </row>
    <row r="131" ht="15.75" customHeight="1">
      <c r="A131" s="7" t="s">
        <v>207</v>
      </c>
      <c r="B131" s="7" t="s">
        <v>208</v>
      </c>
      <c r="C131" s="7" t="s">
        <v>408</v>
      </c>
      <c r="D131" s="7" t="s">
        <v>279</v>
      </c>
      <c r="E131" s="19">
        <v>0.0</v>
      </c>
      <c r="F131" s="18">
        <v>1.0</v>
      </c>
      <c r="G131" s="18">
        <v>1.0</v>
      </c>
      <c r="H131" s="6">
        <f>E131*PV_SESSION+F131*PV_CHALLENGE+G131*PV_WIN</f>
        <v>50</v>
      </c>
    </row>
    <row r="132" ht="15.75" customHeight="1">
      <c r="A132" s="7" t="s">
        <v>207</v>
      </c>
      <c r="B132" s="7" t="s">
        <v>208</v>
      </c>
      <c r="C132" s="7" t="s">
        <v>409</v>
      </c>
      <c r="D132" s="7" t="s">
        <v>281</v>
      </c>
      <c r="E132" s="19">
        <v>0.0</v>
      </c>
      <c r="F132" s="19">
        <v>0.0</v>
      </c>
      <c r="G132" s="19">
        <v>0.0</v>
      </c>
      <c r="H132" s="6">
        <f>E132*PV_SESSION+F132*PV_CHALLENGE+G132*PV_WIN</f>
        <v>0</v>
      </c>
    </row>
    <row r="133" ht="15.75" customHeight="1">
      <c r="A133" s="7" t="s">
        <v>207</v>
      </c>
      <c r="B133" s="7" t="s">
        <v>208</v>
      </c>
      <c r="C133" s="7" t="s">
        <v>410</v>
      </c>
      <c r="D133" s="7" t="s">
        <v>281</v>
      </c>
      <c r="E133" s="19">
        <v>0.0</v>
      </c>
      <c r="F133" s="19">
        <v>0.0</v>
      </c>
      <c r="G133" s="19">
        <v>0.0</v>
      </c>
      <c r="H133" s="6">
        <f>E133*PV_SESSION+F133*PV_CHALLENGE+G133*PV_WIN</f>
        <v>0</v>
      </c>
    </row>
    <row r="134" ht="15.75" customHeight="1">
      <c r="A134" s="7" t="s">
        <v>209</v>
      </c>
      <c r="B134" s="7" t="s">
        <v>210</v>
      </c>
      <c r="C134" s="7" t="s">
        <v>411</v>
      </c>
      <c r="D134" s="7" t="s">
        <v>279</v>
      </c>
      <c r="E134" s="19">
        <v>0.0</v>
      </c>
      <c r="F134" s="19">
        <v>0.0</v>
      </c>
      <c r="G134" s="19">
        <v>0.0</v>
      </c>
      <c r="H134" s="6">
        <f>E134*PV_SESSION+F134*PV_CHALLENGE+G134*PV_WIN</f>
        <v>0</v>
      </c>
    </row>
    <row r="135" ht="15.75" customHeight="1">
      <c r="A135" s="7" t="s">
        <v>209</v>
      </c>
      <c r="B135" s="7" t="s">
        <v>210</v>
      </c>
      <c r="C135" s="7" t="s">
        <v>412</v>
      </c>
      <c r="D135" s="7" t="s">
        <v>281</v>
      </c>
      <c r="E135" s="19">
        <v>0.0</v>
      </c>
      <c r="F135" s="19">
        <v>0.0</v>
      </c>
      <c r="G135" s="19">
        <v>0.0</v>
      </c>
      <c r="H135" s="6">
        <f>E135*PV_SESSION+F135*PV_CHALLENGE+G135*PV_WIN</f>
        <v>0</v>
      </c>
    </row>
    <row r="136" ht="15.75" customHeight="1">
      <c r="A136" s="7" t="s">
        <v>209</v>
      </c>
      <c r="B136" s="7" t="s">
        <v>210</v>
      </c>
      <c r="C136" s="7" t="s">
        <v>413</v>
      </c>
      <c r="D136" s="7" t="s">
        <v>281</v>
      </c>
      <c r="E136" s="19">
        <v>0.0</v>
      </c>
      <c r="F136" s="19">
        <v>0.0</v>
      </c>
      <c r="G136" s="19">
        <v>0.0</v>
      </c>
      <c r="H136" s="6">
        <f>E136*PV_SESSION+F136*PV_CHALLENGE+G136*PV_WIN</f>
        <v>0</v>
      </c>
    </row>
    <row r="137" ht="15.75" customHeight="1">
      <c r="A137" s="7" t="s">
        <v>211</v>
      </c>
      <c r="B137" s="7" t="s">
        <v>212</v>
      </c>
      <c r="C137" s="7" t="s">
        <v>414</v>
      </c>
      <c r="D137" s="7" t="s">
        <v>279</v>
      </c>
      <c r="E137" s="19">
        <v>0.0</v>
      </c>
      <c r="F137" s="19">
        <v>0.0</v>
      </c>
      <c r="G137" s="19">
        <v>0.0</v>
      </c>
      <c r="H137" s="6">
        <f>E137*PV_SESSION+F137*PV_CHALLENGE+G137*PV_WIN</f>
        <v>0</v>
      </c>
    </row>
    <row r="138" ht="15.75" customHeight="1">
      <c r="A138" s="7" t="s">
        <v>213</v>
      </c>
      <c r="B138" s="7" t="s">
        <v>214</v>
      </c>
      <c r="C138" s="7" t="s">
        <v>415</v>
      </c>
      <c r="D138" s="7" t="s">
        <v>279</v>
      </c>
      <c r="E138" s="19">
        <v>0.0</v>
      </c>
      <c r="F138" s="19">
        <v>0.0</v>
      </c>
      <c r="G138" s="19">
        <v>0.0</v>
      </c>
      <c r="H138" s="6">
        <f>E138*PV_SESSION+F138*PV_CHALLENGE+G138*PV_WIN</f>
        <v>0</v>
      </c>
    </row>
    <row r="139" ht="15.75" customHeight="1">
      <c r="A139" s="7" t="s">
        <v>213</v>
      </c>
      <c r="B139" s="7" t="s">
        <v>214</v>
      </c>
      <c r="C139" s="7" t="s">
        <v>416</v>
      </c>
      <c r="D139" s="7" t="s">
        <v>281</v>
      </c>
      <c r="E139" s="19">
        <v>0.0</v>
      </c>
      <c r="F139" s="19">
        <v>0.0</v>
      </c>
      <c r="G139" s="19">
        <v>0.0</v>
      </c>
      <c r="H139" s="6">
        <f>E139*PV_SESSION+F139*PV_CHALLENGE+G139*PV_WIN</f>
        <v>0</v>
      </c>
    </row>
    <row r="140" ht="15.75" customHeight="1">
      <c r="A140" s="7" t="s">
        <v>215</v>
      </c>
      <c r="B140" s="7" t="s">
        <v>216</v>
      </c>
      <c r="C140" s="7" t="s">
        <v>417</v>
      </c>
      <c r="D140" s="7" t="s">
        <v>279</v>
      </c>
      <c r="E140" s="19">
        <v>0.0</v>
      </c>
      <c r="F140" s="18">
        <v>1.0</v>
      </c>
      <c r="G140" s="19">
        <v>0.0</v>
      </c>
      <c r="H140" s="6">
        <f>E140*PV_SESSION+F140*PV_CHALLENGE+G140*PV_WIN</f>
        <v>20</v>
      </c>
    </row>
    <row r="141" ht="15.75" customHeight="1">
      <c r="A141" s="7" t="s">
        <v>215</v>
      </c>
      <c r="B141" s="7" t="s">
        <v>216</v>
      </c>
      <c r="C141" s="7" t="s">
        <v>417</v>
      </c>
      <c r="D141" s="7" t="s">
        <v>281</v>
      </c>
      <c r="E141" s="19">
        <v>0.0</v>
      </c>
      <c r="F141" s="18">
        <v>1.0</v>
      </c>
      <c r="G141" s="19">
        <v>0.0</v>
      </c>
      <c r="H141" s="6">
        <f>E141*PV_SESSION+F141*PV_CHALLENGE+G141*PV_WIN</f>
        <v>20</v>
      </c>
    </row>
    <row r="142" ht="15.75" customHeight="1">
      <c r="A142" s="7" t="s">
        <v>217</v>
      </c>
      <c r="B142" s="7" t="s">
        <v>218</v>
      </c>
      <c r="C142" s="7" t="s">
        <v>418</v>
      </c>
      <c r="D142" s="7" t="s">
        <v>279</v>
      </c>
      <c r="E142" s="19">
        <v>0.0</v>
      </c>
      <c r="F142" s="19">
        <v>0.0</v>
      </c>
      <c r="G142" s="19">
        <v>0.0</v>
      </c>
      <c r="H142" s="6">
        <f>E142*PV_SESSION+F142*PV_CHALLENGE+G142*PV_WIN</f>
        <v>0</v>
      </c>
    </row>
    <row r="143" ht="15.75" customHeight="1">
      <c r="A143" s="7" t="s">
        <v>217</v>
      </c>
      <c r="B143" s="7" t="s">
        <v>218</v>
      </c>
      <c r="C143" s="7" t="s">
        <v>419</v>
      </c>
      <c r="D143" s="7" t="s">
        <v>281</v>
      </c>
      <c r="E143" s="19">
        <v>0.0</v>
      </c>
      <c r="F143" s="19">
        <v>0.0</v>
      </c>
      <c r="G143" s="19">
        <v>0.0</v>
      </c>
      <c r="H143" s="6">
        <f>E143*PV_SESSION+F143*PV_CHALLENGE+G143*PV_WIN</f>
        <v>0</v>
      </c>
    </row>
    <row r="144" ht="15.75" customHeight="1">
      <c r="A144" s="7" t="s">
        <v>217</v>
      </c>
      <c r="B144" s="7" t="s">
        <v>218</v>
      </c>
      <c r="C144" s="7" t="s">
        <v>420</v>
      </c>
      <c r="D144" s="7" t="s">
        <v>281</v>
      </c>
      <c r="E144" s="19">
        <v>0.0</v>
      </c>
      <c r="F144" s="19">
        <v>0.0</v>
      </c>
      <c r="G144" s="19">
        <v>0.0</v>
      </c>
      <c r="H144" s="6">
        <f>E144*PV_SESSION+F144*PV_CHALLENGE+G144*PV_WIN</f>
        <v>0</v>
      </c>
    </row>
    <row r="145" ht="15.75" customHeight="1">
      <c r="A145" s="7" t="s">
        <v>217</v>
      </c>
      <c r="B145" s="7" t="s">
        <v>218</v>
      </c>
      <c r="C145" s="7" t="s">
        <v>421</v>
      </c>
      <c r="D145" s="7" t="s">
        <v>281</v>
      </c>
      <c r="E145" s="19">
        <v>0.0</v>
      </c>
      <c r="F145" s="19">
        <v>0.0</v>
      </c>
      <c r="G145" s="19">
        <v>0.0</v>
      </c>
      <c r="H145" s="6">
        <f>E145*PV_SESSION+F145*PV_CHALLENGE+G145*PV_WIN</f>
        <v>0</v>
      </c>
    </row>
    <row r="146" ht="15.75" customHeight="1">
      <c r="A146" s="7" t="s">
        <v>219</v>
      </c>
      <c r="B146" s="7" t="s">
        <v>220</v>
      </c>
      <c r="C146" s="7" t="s">
        <v>422</v>
      </c>
      <c r="D146" s="7" t="s">
        <v>279</v>
      </c>
      <c r="E146" s="19">
        <v>0.0</v>
      </c>
      <c r="F146" s="19">
        <v>0.0</v>
      </c>
      <c r="G146" s="19">
        <v>0.0</v>
      </c>
      <c r="H146" s="6">
        <f>E146*PV_SESSION+F146*PV_CHALLENGE+G146*PV_WIN</f>
        <v>0</v>
      </c>
    </row>
    <row r="147" ht="15.75" customHeight="1">
      <c r="A147" s="7" t="s">
        <v>219</v>
      </c>
      <c r="B147" s="7" t="s">
        <v>220</v>
      </c>
      <c r="C147" s="7" t="s">
        <v>423</v>
      </c>
      <c r="D147" s="7" t="s">
        <v>281</v>
      </c>
      <c r="E147" s="19">
        <v>0.0</v>
      </c>
      <c r="F147" s="19">
        <v>0.0</v>
      </c>
      <c r="G147" s="19">
        <v>0.0</v>
      </c>
      <c r="H147" s="6">
        <f>E147*PV_SESSION+F147*PV_CHALLENGE+G147*PV_WIN</f>
        <v>0</v>
      </c>
    </row>
    <row r="148" ht="15.75" customHeight="1">
      <c r="A148" s="7" t="s">
        <v>219</v>
      </c>
      <c r="B148" s="7" t="s">
        <v>220</v>
      </c>
      <c r="C148" s="7" t="s">
        <v>424</v>
      </c>
      <c r="D148" s="7" t="s">
        <v>281</v>
      </c>
      <c r="E148" s="19">
        <v>0.0</v>
      </c>
      <c r="F148" s="19">
        <v>0.0</v>
      </c>
      <c r="G148" s="19">
        <v>0.0</v>
      </c>
      <c r="H148" s="6">
        <f>E148*PV_SESSION+F148*PV_CHALLENGE+G148*PV_WIN</f>
        <v>0</v>
      </c>
    </row>
    <row r="149" ht="15.75" customHeight="1">
      <c r="A149" s="7" t="s">
        <v>219</v>
      </c>
      <c r="B149" s="7" t="s">
        <v>220</v>
      </c>
      <c r="C149" s="7" t="s">
        <v>425</v>
      </c>
      <c r="D149" s="7" t="s">
        <v>281</v>
      </c>
      <c r="E149" s="19">
        <v>0.0</v>
      </c>
      <c r="F149" s="19">
        <v>0.0</v>
      </c>
      <c r="G149" s="19">
        <v>0.0</v>
      </c>
      <c r="H149" s="6">
        <f>E149*PV_SESSION+F149*PV_CHALLENGE+G149*PV_WIN</f>
        <v>0</v>
      </c>
    </row>
    <row r="150" ht="15.75" customHeight="1">
      <c r="A150" s="7" t="s">
        <v>221</v>
      </c>
      <c r="B150" s="7" t="s">
        <v>222</v>
      </c>
      <c r="C150" s="7" t="s">
        <v>426</v>
      </c>
      <c r="D150" s="7" t="s">
        <v>279</v>
      </c>
      <c r="E150" s="19">
        <v>0.0</v>
      </c>
      <c r="F150" s="19">
        <v>0.0</v>
      </c>
      <c r="G150" s="19">
        <v>0.0</v>
      </c>
      <c r="H150" s="6">
        <f>E150*PV_SESSION+F150*PV_CHALLENGE+G150*PV_WIN</f>
        <v>0</v>
      </c>
    </row>
    <row r="151" ht="15.75" customHeight="1">
      <c r="A151" s="7" t="s">
        <v>221</v>
      </c>
      <c r="B151" s="7" t="s">
        <v>222</v>
      </c>
      <c r="C151" s="7" t="s">
        <v>427</v>
      </c>
      <c r="D151" s="7" t="s">
        <v>281</v>
      </c>
      <c r="E151" s="19">
        <v>0.0</v>
      </c>
      <c r="F151" s="19">
        <v>0.0</v>
      </c>
      <c r="G151" s="19">
        <v>0.0</v>
      </c>
      <c r="H151" s="6">
        <f>E151*PV_SESSION+F151*PV_CHALLENGE+G151*PV_WIN</f>
        <v>0</v>
      </c>
    </row>
    <row r="152" ht="15.75" customHeight="1">
      <c r="A152" s="7" t="s">
        <v>221</v>
      </c>
      <c r="B152" s="7" t="s">
        <v>222</v>
      </c>
      <c r="C152" s="7" t="s">
        <v>428</v>
      </c>
      <c r="D152" s="7" t="s">
        <v>281</v>
      </c>
      <c r="E152" s="19">
        <v>0.0</v>
      </c>
      <c r="F152" s="19">
        <v>0.0</v>
      </c>
      <c r="G152" s="19">
        <v>0.0</v>
      </c>
      <c r="H152" s="6">
        <f>E152*PV_SESSION+F152*PV_CHALLENGE+G152*PV_WIN</f>
        <v>0</v>
      </c>
    </row>
    <row r="153" ht="15.75" customHeight="1">
      <c r="A153" s="7" t="s">
        <v>223</v>
      </c>
      <c r="B153" s="7" t="s">
        <v>224</v>
      </c>
      <c r="C153" s="7" t="s">
        <v>429</v>
      </c>
      <c r="D153" s="7" t="s">
        <v>279</v>
      </c>
      <c r="E153" s="19">
        <v>0.0</v>
      </c>
      <c r="F153" s="19">
        <v>0.0</v>
      </c>
      <c r="G153" s="19">
        <v>0.0</v>
      </c>
      <c r="H153" s="6">
        <f>E153*PV_SESSION+F153*PV_CHALLENGE+G153*PV_WIN</f>
        <v>0</v>
      </c>
    </row>
    <row r="154" ht="15.75" customHeight="1">
      <c r="A154" s="7" t="s">
        <v>223</v>
      </c>
      <c r="B154" s="7" t="s">
        <v>224</v>
      </c>
      <c r="C154" s="7" t="s">
        <v>430</v>
      </c>
      <c r="D154" s="7" t="s">
        <v>281</v>
      </c>
      <c r="E154" s="19">
        <v>0.0</v>
      </c>
      <c r="F154" s="19">
        <v>0.0</v>
      </c>
      <c r="G154" s="19">
        <v>0.0</v>
      </c>
      <c r="H154" s="6">
        <f>E154*PV_SESSION+F154*PV_CHALLENGE+G154*PV_WIN</f>
        <v>0</v>
      </c>
    </row>
    <row r="155" ht="15.75" customHeight="1">
      <c r="A155" s="7" t="s">
        <v>223</v>
      </c>
      <c r="B155" s="7" t="s">
        <v>224</v>
      </c>
      <c r="C155" s="7" t="s">
        <v>431</v>
      </c>
      <c r="D155" s="7" t="s">
        <v>281</v>
      </c>
      <c r="E155" s="19">
        <v>0.0</v>
      </c>
      <c r="F155" s="19">
        <v>0.0</v>
      </c>
      <c r="G155" s="19">
        <v>0.0</v>
      </c>
      <c r="H155" s="6">
        <f>E155*PV_SESSION+F155*PV_CHALLENGE+G155*PV_WIN</f>
        <v>0</v>
      </c>
    </row>
    <row r="156" ht="15.75" customHeight="1">
      <c r="A156" s="7" t="s">
        <v>223</v>
      </c>
      <c r="B156" s="7" t="s">
        <v>224</v>
      </c>
      <c r="C156" s="7" t="s">
        <v>432</v>
      </c>
      <c r="D156" s="7" t="s">
        <v>281</v>
      </c>
      <c r="E156" s="19">
        <v>0.0</v>
      </c>
      <c r="F156" s="18">
        <v>1.0</v>
      </c>
      <c r="G156" s="19">
        <v>0.0</v>
      </c>
      <c r="H156" s="6">
        <f>E156*PV_SESSION+F156*PV_CHALLENGE+G156*PV_WIN</f>
        <v>20</v>
      </c>
    </row>
    <row r="157" ht="15.75" customHeight="1">
      <c r="A157" s="7" t="s">
        <v>225</v>
      </c>
      <c r="B157" s="7" t="s">
        <v>226</v>
      </c>
      <c r="C157" s="7" t="s">
        <v>433</v>
      </c>
      <c r="D157" s="7" t="s">
        <v>279</v>
      </c>
      <c r="E157" s="19">
        <v>0.0</v>
      </c>
      <c r="F157" s="19">
        <v>0.0</v>
      </c>
      <c r="G157" s="19">
        <v>0.0</v>
      </c>
      <c r="H157" s="6">
        <f>E157*PV_SESSION+F157*PV_CHALLENGE+G157*PV_WIN</f>
        <v>0</v>
      </c>
    </row>
    <row r="158" ht="15.75" customHeight="1">
      <c r="A158" s="7" t="s">
        <v>225</v>
      </c>
      <c r="B158" s="7" t="s">
        <v>226</v>
      </c>
      <c r="C158" s="7" t="s">
        <v>434</v>
      </c>
      <c r="D158" s="7" t="s">
        <v>281</v>
      </c>
      <c r="E158" s="19">
        <v>0.0</v>
      </c>
      <c r="F158" s="19">
        <v>0.0</v>
      </c>
      <c r="G158" s="19">
        <v>0.0</v>
      </c>
      <c r="H158" s="6">
        <f>E158*PV_SESSION+F158*PV_CHALLENGE+G158*PV_WIN</f>
        <v>0</v>
      </c>
    </row>
    <row r="159" ht="15.75" customHeight="1">
      <c r="A159" s="7" t="s">
        <v>227</v>
      </c>
      <c r="B159" s="7" t="s">
        <v>228</v>
      </c>
      <c r="C159" s="7" t="s">
        <v>435</v>
      </c>
      <c r="D159" s="7" t="s">
        <v>279</v>
      </c>
      <c r="E159" s="19">
        <v>0.0</v>
      </c>
      <c r="F159" s="19">
        <v>0.0</v>
      </c>
      <c r="G159" s="19">
        <v>0.0</v>
      </c>
      <c r="H159" s="6">
        <f>E159*PV_SESSION+F159*PV_CHALLENGE+G159*PV_WIN</f>
        <v>0</v>
      </c>
    </row>
    <row r="160" ht="15.75" customHeight="1">
      <c r="A160" s="7" t="s">
        <v>227</v>
      </c>
      <c r="B160" s="7" t="s">
        <v>228</v>
      </c>
      <c r="C160" s="7" t="s">
        <v>436</v>
      </c>
      <c r="D160" s="7" t="s">
        <v>281</v>
      </c>
      <c r="E160" s="19">
        <v>0.0</v>
      </c>
      <c r="F160" s="19">
        <v>0.0</v>
      </c>
      <c r="G160" s="19">
        <v>0.0</v>
      </c>
      <c r="H160" s="6">
        <f>E160*PV_SESSION+F160*PV_CHALLENGE+G160*PV_WIN</f>
        <v>0</v>
      </c>
    </row>
    <row r="161" ht="15.75" customHeight="1">
      <c r="A161" s="7" t="s">
        <v>229</v>
      </c>
      <c r="B161" s="7" t="s">
        <v>230</v>
      </c>
      <c r="C161" s="7" t="s">
        <v>437</v>
      </c>
      <c r="D161" s="7" t="s">
        <v>279</v>
      </c>
      <c r="E161" s="19">
        <v>0.0</v>
      </c>
      <c r="F161" s="19">
        <v>0.0</v>
      </c>
      <c r="G161" s="19">
        <v>0.0</v>
      </c>
      <c r="H161" s="6">
        <f>E161*PV_SESSION+F161*PV_CHALLENGE+G161*PV_WIN</f>
        <v>0</v>
      </c>
    </row>
    <row r="162" ht="15.75" customHeight="1">
      <c r="A162" s="7" t="s">
        <v>229</v>
      </c>
      <c r="B162" s="7" t="s">
        <v>230</v>
      </c>
      <c r="C162" s="7" t="s">
        <v>438</v>
      </c>
      <c r="D162" s="7" t="s">
        <v>281</v>
      </c>
      <c r="E162" s="19">
        <v>0.0</v>
      </c>
      <c r="F162" s="19">
        <v>0.0</v>
      </c>
      <c r="G162" s="19">
        <v>0.0</v>
      </c>
      <c r="H162" s="6">
        <f>E162*PV_SESSION+F162*PV_CHALLENGE+G162*PV_WIN</f>
        <v>0</v>
      </c>
    </row>
    <row r="163" ht="15.75" customHeight="1">
      <c r="A163" s="7" t="s">
        <v>229</v>
      </c>
      <c r="B163" s="7" t="s">
        <v>230</v>
      </c>
      <c r="C163" s="7" t="s">
        <v>439</v>
      </c>
      <c r="D163" s="7" t="s">
        <v>281</v>
      </c>
      <c r="E163" s="19">
        <v>0.0</v>
      </c>
      <c r="F163" s="19">
        <v>0.0</v>
      </c>
      <c r="G163" s="19">
        <v>0.0</v>
      </c>
      <c r="H163" s="6">
        <f>E163*PV_SESSION+F163*PV_CHALLENGE+G163*PV_WIN</f>
        <v>0</v>
      </c>
    </row>
    <row r="164" ht="15.75" customHeight="1">
      <c r="A164" s="7" t="s">
        <v>229</v>
      </c>
      <c r="B164" s="7" t="s">
        <v>230</v>
      </c>
      <c r="C164" s="7" t="s">
        <v>440</v>
      </c>
      <c r="D164" s="7" t="s">
        <v>281</v>
      </c>
      <c r="E164" s="19">
        <v>0.0</v>
      </c>
      <c r="F164" s="19">
        <v>0.0</v>
      </c>
      <c r="G164" s="19">
        <v>0.0</v>
      </c>
      <c r="H164" s="6">
        <f>E164*PV_SESSION+F164*PV_CHALLENGE+G164*PV_WIN</f>
        <v>0</v>
      </c>
    </row>
    <row r="165" ht="15.75" customHeight="1">
      <c r="A165" s="7" t="s">
        <v>231</v>
      </c>
      <c r="B165" s="7" t="s">
        <v>232</v>
      </c>
      <c r="C165" s="7" t="s">
        <v>441</v>
      </c>
      <c r="D165" s="7" t="s">
        <v>279</v>
      </c>
      <c r="E165" s="19">
        <v>0.0</v>
      </c>
      <c r="F165" s="19">
        <v>0.0</v>
      </c>
      <c r="G165" s="19">
        <v>0.0</v>
      </c>
      <c r="H165" s="6">
        <f>E165*PV_SESSION+F165*PV_CHALLENGE+G165*PV_WIN</f>
        <v>0</v>
      </c>
    </row>
    <row r="166" ht="15.75" customHeight="1">
      <c r="A166" s="7" t="s">
        <v>231</v>
      </c>
      <c r="B166" s="7" t="s">
        <v>232</v>
      </c>
      <c r="C166" s="7" t="s">
        <v>442</v>
      </c>
      <c r="D166" s="7" t="s">
        <v>281</v>
      </c>
      <c r="E166" s="19">
        <v>0.0</v>
      </c>
      <c r="F166" s="19">
        <v>0.0</v>
      </c>
      <c r="G166" s="19">
        <v>0.0</v>
      </c>
      <c r="H166" s="6">
        <f>E166*PV_SESSION+F166*PV_CHALLENGE+G166*PV_WIN</f>
        <v>0</v>
      </c>
    </row>
    <row r="167" ht="15.75" customHeight="1">
      <c r="A167" s="7" t="s">
        <v>233</v>
      </c>
      <c r="B167" s="7" t="s">
        <v>234</v>
      </c>
      <c r="C167" s="7" t="s">
        <v>443</v>
      </c>
      <c r="D167" s="7" t="s">
        <v>279</v>
      </c>
      <c r="E167" s="19">
        <v>0.0</v>
      </c>
      <c r="F167" s="19">
        <v>0.0</v>
      </c>
      <c r="G167" s="19">
        <v>0.0</v>
      </c>
      <c r="H167" s="6">
        <f>E167*PV_SESSION+F167*PV_CHALLENGE+G167*PV_WIN</f>
        <v>0</v>
      </c>
    </row>
    <row r="168" ht="15.75" customHeight="1">
      <c r="A168" s="7" t="s">
        <v>233</v>
      </c>
      <c r="B168" s="7" t="s">
        <v>234</v>
      </c>
      <c r="C168" s="7" t="s">
        <v>444</v>
      </c>
      <c r="D168" s="7" t="s">
        <v>281</v>
      </c>
      <c r="E168" s="19">
        <v>0.0</v>
      </c>
      <c r="F168" s="18">
        <v>1.0</v>
      </c>
      <c r="G168" s="19">
        <v>0.0</v>
      </c>
      <c r="H168" s="6">
        <f>E168*PV_SESSION+F168*PV_CHALLENGE+G168*PV_WIN</f>
        <v>20</v>
      </c>
    </row>
    <row r="169" ht="15.75" customHeight="1">
      <c r="A169" s="7" t="s">
        <v>235</v>
      </c>
      <c r="B169" s="7" t="s">
        <v>236</v>
      </c>
      <c r="C169" s="7" t="s">
        <v>445</v>
      </c>
      <c r="D169" s="7" t="s">
        <v>279</v>
      </c>
      <c r="E169" s="19">
        <v>0.0</v>
      </c>
      <c r="F169" s="18">
        <v>1.0</v>
      </c>
      <c r="G169" s="19">
        <v>0.0</v>
      </c>
      <c r="H169" s="6">
        <f>E169*PV_SESSION+F169*PV_CHALLENGE+G169*PV_WIN</f>
        <v>20</v>
      </c>
    </row>
    <row r="170" ht="15.75" customHeight="1">
      <c r="A170" s="7" t="s">
        <v>235</v>
      </c>
      <c r="B170" s="7" t="s">
        <v>236</v>
      </c>
      <c r="C170" s="7" t="s">
        <v>446</v>
      </c>
      <c r="D170" s="7" t="s">
        <v>281</v>
      </c>
      <c r="E170" s="19">
        <v>0.0</v>
      </c>
      <c r="F170" s="18">
        <v>1.0</v>
      </c>
      <c r="G170" s="18">
        <v>1.0</v>
      </c>
      <c r="H170" s="6">
        <f>E170*PV_SESSION+F170*PV_CHALLENGE+G170*PV_WIN</f>
        <v>50</v>
      </c>
    </row>
    <row r="171" ht="15.75" customHeight="1">
      <c r="A171" s="7" t="s">
        <v>237</v>
      </c>
      <c r="B171" s="7" t="s">
        <v>238</v>
      </c>
      <c r="C171" s="7" t="s">
        <v>447</v>
      </c>
      <c r="D171" s="7" t="s">
        <v>279</v>
      </c>
      <c r="E171" s="19">
        <v>0.0</v>
      </c>
      <c r="F171" s="18">
        <v>1.0</v>
      </c>
      <c r="G171" s="19">
        <v>0.0</v>
      </c>
      <c r="H171" s="6">
        <f>E171*PV_SESSION+F171*PV_CHALLENGE+G171*PV_WIN</f>
        <v>20</v>
      </c>
    </row>
    <row r="172" ht="15.75" customHeight="1">
      <c r="A172" s="7" t="s">
        <v>237</v>
      </c>
      <c r="B172" s="7" t="s">
        <v>238</v>
      </c>
      <c r="C172" s="7" t="s">
        <v>448</v>
      </c>
      <c r="D172" s="7" t="s">
        <v>281</v>
      </c>
      <c r="E172" s="19">
        <v>0.0</v>
      </c>
      <c r="F172" s="19">
        <v>0.0</v>
      </c>
      <c r="G172" s="19">
        <v>0.0</v>
      </c>
      <c r="H172" s="6">
        <f>E172*PV_SESSION+F172*PV_CHALLENGE+G172*PV_WIN</f>
        <v>0</v>
      </c>
    </row>
    <row r="173" ht="15.75" customHeight="1">
      <c r="A173" s="7" t="s">
        <v>239</v>
      </c>
      <c r="B173" s="7" t="s">
        <v>240</v>
      </c>
      <c r="C173" s="7" t="s">
        <v>449</v>
      </c>
      <c r="D173" s="7" t="s">
        <v>279</v>
      </c>
      <c r="E173" s="19">
        <v>0.0</v>
      </c>
      <c r="F173" s="19">
        <v>0.0</v>
      </c>
      <c r="G173" s="19">
        <v>0.0</v>
      </c>
      <c r="H173" s="6">
        <f>E173*PV_SESSION+F173*PV_CHALLENGE+G173*PV_WIN</f>
        <v>0</v>
      </c>
    </row>
    <row r="174" ht="15.75" customHeight="1">
      <c r="A174" s="7" t="s">
        <v>239</v>
      </c>
      <c r="B174" s="7" t="s">
        <v>240</v>
      </c>
      <c r="C174" s="7" t="s">
        <v>450</v>
      </c>
      <c r="D174" s="7" t="s">
        <v>281</v>
      </c>
      <c r="E174" s="19">
        <v>0.0</v>
      </c>
      <c r="F174" s="19">
        <v>0.0</v>
      </c>
      <c r="G174" s="19">
        <v>0.0</v>
      </c>
      <c r="H174" s="6">
        <f>E174*PV_SESSION+F174*PV_CHALLENGE+G174*PV_WIN</f>
        <v>0</v>
      </c>
    </row>
    <row r="175" ht="15.75" customHeight="1">
      <c r="A175" s="7" t="s">
        <v>241</v>
      </c>
      <c r="B175" s="7" t="s">
        <v>242</v>
      </c>
      <c r="C175" s="7" t="s">
        <v>301</v>
      </c>
      <c r="D175" s="7" t="s">
        <v>279</v>
      </c>
      <c r="E175" s="19">
        <v>0.0</v>
      </c>
      <c r="F175" s="18">
        <v>1.0</v>
      </c>
      <c r="G175" s="19">
        <v>0.0</v>
      </c>
      <c r="H175" s="6">
        <f>E175*PV_SESSION+F175*PV_CHALLENGE+G175*PV_WIN</f>
        <v>20</v>
      </c>
    </row>
    <row r="176" ht="15.75" customHeight="1">
      <c r="A176" s="7" t="s">
        <v>241</v>
      </c>
      <c r="B176" s="7" t="s">
        <v>242</v>
      </c>
      <c r="C176" s="7" t="s">
        <v>451</v>
      </c>
      <c r="D176" s="7" t="s">
        <v>281</v>
      </c>
      <c r="E176" s="19">
        <v>0.0</v>
      </c>
      <c r="F176" s="18">
        <v>1.0</v>
      </c>
      <c r="G176" s="19">
        <v>0.0</v>
      </c>
      <c r="H176" s="6">
        <f>E176*PV_SESSION+F176*PV_CHALLENGE+G176*PV_WIN</f>
        <v>20</v>
      </c>
    </row>
    <row r="177" ht="15.75" customHeight="1">
      <c r="A177" s="7" t="s">
        <v>243</v>
      </c>
      <c r="B177" s="7" t="s">
        <v>244</v>
      </c>
      <c r="C177" s="7" t="s">
        <v>452</v>
      </c>
      <c r="D177" s="7" t="s">
        <v>279</v>
      </c>
      <c r="E177" s="19">
        <v>0.0</v>
      </c>
      <c r="F177" s="19">
        <v>0.0</v>
      </c>
      <c r="G177" s="19">
        <v>0.0</v>
      </c>
      <c r="H177" s="6">
        <f>E177*PV_SESSION+F177*PV_CHALLENGE+G177*PV_WIN</f>
        <v>0</v>
      </c>
    </row>
    <row r="178" ht="15.75" customHeight="1">
      <c r="A178" s="7" t="s">
        <v>243</v>
      </c>
      <c r="B178" s="7" t="s">
        <v>244</v>
      </c>
      <c r="C178" s="7" t="s">
        <v>453</v>
      </c>
      <c r="D178" s="7" t="s">
        <v>281</v>
      </c>
      <c r="E178" s="19">
        <v>0.0</v>
      </c>
      <c r="F178" s="19">
        <v>0.0</v>
      </c>
      <c r="G178" s="19">
        <v>0.0</v>
      </c>
      <c r="H178" s="6">
        <f>E178*PV_SESSION+F178*PV_CHALLENGE+G178*PV_WIN</f>
        <v>0</v>
      </c>
    </row>
    <row r="179" ht="15.75" customHeight="1">
      <c r="A179" s="7" t="s">
        <v>245</v>
      </c>
      <c r="B179" s="7" t="s">
        <v>246</v>
      </c>
      <c r="C179" s="7" t="s">
        <v>294</v>
      </c>
      <c r="D179" s="7" t="s">
        <v>279</v>
      </c>
      <c r="E179" s="19">
        <v>0.0</v>
      </c>
      <c r="F179" s="18">
        <v>1.0</v>
      </c>
      <c r="G179" s="18">
        <v>1.0</v>
      </c>
      <c r="H179" s="6">
        <f>E179*PV_SESSION+F179*PV_CHALLENGE+G179*PV_WIN</f>
        <v>50</v>
      </c>
    </row>
    <row r="180" ht="15.75" customHeight="1">
      <c r="A180" s="7" t="s">
        <v>245</v>
      </c>
      <c r="B180" s="7" t="s">
        <v>246</v>
      </c>
      <c r="C180" s="7" t="s">
        <v>454</v>
      </c>
      <c r="D180" s="7" t="s">
        <v>281</v>
      </c>
      <c r="E180" s="19">
        <v>0.0</v>
      </c>
      <c r="F180" s="19">
        <v>0.0</v>
      </c>
      <c r="G180" s="19">
        <v>0.0</v>
      </c>
      <c r="H180" s="6">
        <f>E180*PV_SESSION+F180*PV_CHALLENGE+G180*PV_WIN</f>
        <v>0</v>
      </c>
    </row>
    <row r="181" ht="15.75" customHeight="1">
      <c r="A181" s="7" t="s">
        <v>245</v>
      </c>
      <c r="B181" s="7" t="s">
        <v>246</v>
      </c>
      <c r="C181" s="7" t="s">
        <v>455</v>
      </c>
      <c r="D181" s="7" t="s">
        <v>281</v>
      </c>
      <c r="E181" s="19">
        <v>0.0</v>
      </c>
      <c r="F181" s="18">
        <v>1.0</v>
      </c>
      <c r="G181" s="19">
        <v>0.0</v>
      </c>
      <c r="H181" s="6">
        <f>E181*PV_SESSION+F181*PV_CHALLENGE+G181*PV_WIN</f>
        <v>20</v>
      </c>
    </row>
    <row r="182" ht="15.75" customHeight="1">
      <c r="A182" s="7" t="s">
        <v>245</v>
      </c>
      <c r="B182" s="7" t="s">
        <v>246</v>
      </c>
      <c r="C182" s="7" t="s">
        <v>456</v>
      </c>
      <c r="D182" s="7" t="s">
        <v>281</v>
      </c>
      <c r="E182" s="19">
        <v>0.0</v>
      </c>
      <c r="F182" s="18">
        <v>1.0</v>
      </c>
      <c r="G182" s="19">
        <v>0.0</v>
      </c>
      <c r="H182" s="6">
        <f>E182*PV_SESSION+F182*PV_CHALLENGE+G182*PV_WIN</f>
        <v>20</v>
      </c>
    </row>
    <row r="183" ht="15.75" customHeight="1">
      <c r="A183" s="7" t="s">
        <v>247</v>
      </c>
      <c r="B183" s="7" t="s">
        <v>248</v>
      </c>
      <c r="C183" s="7" t="s">
        <v>457</v>
      </c>
      <c r="D183" s="7" t="s">
        <v>279</v>
      </c>
      <c r="E183" s="19">
        <v>0.0</v>
      </c>
      <c r="F183" s="19">
        <v>0.0</v>
      </c>
      <c r="G183" s="19">
        <v>0.0</v>
      </c>
      <c r="H183" s="6">
        <f>E183*PV_SESSION+F183*PV_CHALLENGE+G183*PV_WIN</f>
        <v>0</v>
      </c>
    </row>
    <row r="184" ht="15.75" customHeight="1">
      <c r="A184" s="7" t="s">
        <v>249</v>
      </c>
      <c r="B184" s="7" t="s">
        <v>250</v>
      </c>
      <c r="C184" s="7" t="s">
        <v>458</v>
      </c>
      <c r="D184" s="7" t="s">
        <v>279</v>
      </c>
      <c r="E184" s="19">
        <v>0.0</v>
      </c>
      <c r="F184" s="18">
        <v>1.0</v>
      </c>
      <c r="G184" s="19">
        <v>0.0</v>
      </c>
      <c r="H184" s="6">
        <f>E184*PV_SESSION+F184*PV_CHALLENGE+G184*PV_WIN</f>
        <v>20</v>
      </c>
    </row>
    <row r="185" ht="15.75" customHeight="1">
      <c r="A185" s="7" t="s">
        <v>249</v>
      </c>
      <c r="B185" s="7" t="s">
        <v>250</v>
      </c>
      <c r="C185" s="7" t="s">
        <v>459</v>
      </c>
      <c r="D185" s="7" t="s">
        <v>281</v>
      </c>
      <c r="E185" s="19">
        <v>0.0</v>
      </c>
      <c r="F185" s="18">
        <v>1.0</v>
      </c>
      <c r="G185" s="19">
        <v>0.0</v>
      </c>
      <c r="H185" s="6">
        <f>E185*PV_SESSION+F185*PV_CHALLENGE+G185*PV_WIN</f>
        <v>20</v>
      </c>
    </row>
    <row r="186" ht="15.75" customHeight="1">
      <c r="A186" s="7" t="s">
        <v>249</v>
      </c>
      <c r="B186" s="7" t="s">
        <v>250</v>
      </c>
      <c r="C186" s="7" t="s">
        <v>460</v>
      </c>
      <c r="D186" s="7" t="s">
        <v>281</v>
      </c>
      <c r="E186" s="19">
        <v>0.0</v>
      </c>
      <c r="F186" s="18">
        <v>1.0</v>
      </c>
      <c r="G186" s="19">
        <v>0.0</v>
      </c>
      <c r="H186" s="6">
        <f>E186*PV_SESSION+F186*PV_CHALLENGE+G186*PV_WIN</f>
        <v>20</v>
      </c>
    </row>
    <row r="187" ht="15.75" customHeight="1">
      <c r="A187" s="7" t="s">
        <v>249</v>
      </c>
      <c r="B187" s="7" t="s">
        <v>250</v>
      </c>
      <c r="C187" s="7" t="s">
        <v>461</v>
      </c>
      <c r="D187" s="7" t="s">
        <v>281</v>
      </c>
      <c r="E187" s="19">
        <v>0.0</v>
      </c>
      <c r="F187" s="19">
        <v>0.0</v>
      </c>
      <c r="G187" s="19">
        <v>0.0</v>
      </c>
      <c r="H187" s="6">
        <f>E187*PV_SESSION+F187*PV_CHALLENGE+G187*PV_WIN</f>
        <v>0</v>
      </c>
    </row>
    <row r="188" ht="15.75" customHeight="1">
      <c r="A188" s="7" t="s">
        <v>251</v>
      </c>
      <c r="B188" s="7" t="s">
        <v>252</v>
      </c>
      <c r="C188" s="7" t="s">
        <v>462</v>
      </c>
      <c r="D188" s="7" t="s">
        <v>279</v>
      </c>
      <c r="E188" s="19">
        <v>0.0</v>
      </c>
      <c r="F188" s="19">
        <v>0.0</v>
      </c>
      <c r="G188" s="19">
        <v>0.0</v>
      </c>
      <c r="H188" s="6">
        <f>E188*PV_SESSION+F188*PV_CHALLENGE+G188*PV_WIN</f>
        <v>0</v>
      </c>
    </row>
    <row r="189" ht="15.75" customHeight="1">
      <c r="A189" s="7" t="s">
        <v>251</v>
      </c>
      <c r="B189" s="7" t="s">
        <v>252</v>
      </c>
      <c r="C189" s="7" t="s">
        <v>463</v>
      </c>
      <c r="D189" s="7" t="s">
        <v>281</v>
      </c>
      <c r="E189" s="19">
        <v>0.0</v>
      </c>
      <c r="F189" s="19">
        <v>0.0</v>
      </c>
      <c r="G189" s="19">
        <v>0.0</v>
      </c>
      <c r="H189" s="6">
        <f>E189*PV_SESSION+F189*PV_CHALLENGE+G189*PV_WIN</f>
        <v>0</v>
      </c>
    </row>
    <row r="190" ht="15.75" customHeight="1">
      <c r="A190" s="7" t="s">
        <v>253</v>
      </c>
      <c r="B190" s="7" t="s">
        <v>254</v>
      </c>
      <c r="C190" s="7" t="s">
        <v>464</v>
      </c>
      <c r="D190" s="7" t="s">
        <v>279</v>
      </c>
      <c r="E190" s="19">
        <v>0.0</v>
      </c>
      <c r="F190" s="18">
        <v>1.0</v>
      </c>
      <c r="G190" s="19">
        <v>0.0</v>
      </c>
      <c r="H190" s="6">
        <f>E190*PV_SESSION+F190*PV_CHALLENGE+G190*PV_WIN</f>
        <v>20</v>
      </c>
    </row>
    <row r="191" ht="15.75" customHeight="1">
      <c r="A191" s="7" t="s">
        <v>253</v>
      </c>
      <c r="B191" s="7" t="s">
        <v>254</v>
      </c>
      <c r="C191" s="7" t="s">
        <v>465</v>
      </c>
      <c r="D191" s="7" t="s">
        <v>281</v>
      </c>
      <c r="E191" s="19">
        <v>0.0</v>
      </c>
      <c r="F191" s="19">
        <v>0.0</v>
      </c>
      <c r="G191" s="19">
        <v>0.0</v>
      </c>
      <c r="H191" s="6">
        <f>E191*PV_SESSION+F191*PV_CHALLENGE+G191*PV_WIN</f>
        <v>0</v>
      </c>
    </row>
    <row r="192" ht="15.75" customHeight="1">
      <c r="A192" s="7" t="s">
        <v>253</v>
      </c>
      <c r="B192" s="7" t="s">
        <v>254</v>
      </c>
      <c r="C192" s="7" t="s">
        <v>466</v>
      </c>
      <c r="D192" s="7" t="s">
        <v>281</v>
      </c>
      <c r="E192" s="19">
        <v>0.0</v>
      </c>
      <c r="F192" s="19">
        <v>0.0</v>
      </c>
      <c r="G192" s="19">
        <v>0.0</v>
      </c>
      <c r="H192" s="6">
        <f>E192*PV_SESSION+F192*PV_CHALLENGE+G192*PV_WIN</f>
        <v>0</v>
      </c>
    </row>
    <row r="193" ht="15.75" customHeight="1">
      <c r="A193" s="7" t="s">
        <v>256</v>
      </c>
      <c r="B193" s="7" t="s">
        <v>257</v>
      </c>
      <c r="C193" s="7" t="s">
        <v>467</v>
      </c>
      <c r="D193" s="7" t="s">
        <v>279</v>
      </c>
      <c r="E193" s="19">
        <v>0.0</v>
      </c>
      <c r="F193" s="19">
        <v>0.0</v>
      </c>
      <c r="G193" s="19">
        <v>0.0</v>
      </c>
      <c r="H193" s="6">
        <f>E193*PV_SESSION+F193*PV_CHALLENGE+G193*PV_WIN</f>
        <v>0</v>
      </c>
    </row>
    <row r="194" ht="15.75" customHeight="1">
      <c r="A194" s="7" t="s">
        <v>256</v>
      </c>
      <c r="B194" s="7" t="s">
        <v>257</v>
      </c>
      <c r="C194" s="7" t="s">
        <v>468</v>
      </c>
      <c r="D194" s="7" t="s">
        <v>281</v>
      </c>
      <c r="E194" s="19">
        <v>0.0</v>
      </c>
      <c r="F194" s="19">
        <v>0.0</v>
      </c>
      <c r="G194" s="19">
        <v>0.0</v>
      </c>
      <c r="H194" s="6">
        <f>E194*PV_SESSION+F194*PV_CHALLENGE+G194*PV_WIN</f>
        <v>0</v>
      </c>
    </row>
    <row r="195" ht="15.75" customHeight="1">
      <c r="A195" s="7" t="s">
        <v>258</v>
      </c>
      <c r="B195" s="7" t="s">
        <v>259</v>
      </c>
      <c r="C195" s="7" t="s">
        <v>469</v>
      </c>
      <c r="D195" s="7" t="s">
        <v>279</v>
      </c>
      <c r="E195" s="19">
        <v>0.0</v>
      </c>
      <c r="F195" s="19">
        <v>0.0</v>
      </c>
      <c r="G195" s="19">
        <v>0.0</v>
      </c>
      <c r="H195" s="6">
        <f>E195*PV_SESSION+F195*PV_CHALLENGE+G195*PV_WIN</f>
        <v>0</v>
      </c>
    </row>
    <row r="196" ht="15.75" customHeight="1">
      <c r="A196" s="7" t="s">
        <v>258</v>
      </c>
      <c r="B196" s="7" t="s">
        <v>259</v>
      </c>
      <c r="C196" s="7" t="s">
        <v>470</v>
      </c>
      <c r="D196" s="7" t="s">
        <v>281</v>
      </c>
      <c r="E196" s="19">
        <v>0.0</v>
      </c>
      <c r="F196" s="19">
        <v>0.0</v>
      </c>
      <c r="G196" s="19">
        <v>0.0</v>
      </c>
      <c r="H196" s="6">
        <f>E196*PV_SESSION+F196*PV_CHALLENGE+G196*PV_WIN</f>
        <v>0</v>
      </c>
    </row>
    <row r="197" ht="15.75" customHeight="1">
      <c r="A197" s="7" t="s">
        <v>258</v>
      </c>
      <c r="B197" s="7" t="s">
        <v>259</v>
      </c>
      <c r="C197" s="7" t="s">
        <v>471</v>
      </c>
      <c r="D197" s="7" t="s">
        <v>281</v>
      </c>
      <c r="E197" s="19">
        <v>0.0</v>
      </c>
      <c r="F197" s="19">
        <v>0.0</v>
      </c>
      <c r="G197" s="19">
        <v>0.0</v>
      </c>
      <c r="H197" s="6">
        <f>E197*PV_SESSION+F197*PV_CHALLENGE+G197*PV_WIN</f>
        <v>0</v>
      </c>
    </row>
    <row r="198" ht="15.75" customHeight="1">
      <c r="A198" s="7" t="s">
        <v>258</v>
      </c>
      <c r="B198" s="7" t="s">
        <v>259</v>
      </c>
      <c r="C198" s="7" t="s">
        <v>472</v>
      </c>
      <c r="D198" s="7" t="s">
        <v>281</v>
      </c>
      <c r="E198" s="19">
        <v>0.0</v>
      </c>
      <c r="F198" s="19">
        <v>0.0</v>
      </c>
      <c r="G198" s="19">
        <v>0.0</v>
      </c>
      <c r="H198" s="6">
        <f>E198*PV_SESSION+F198*PV_CHALLENGE+G198*PV_WIN</f>
        <v>0</v>
      </c>
    </row>
    <row r="199" ht="15.75" customHeight="1">
      <c r="A199" s="7" t="s">
        <v>260</v>
      </c>
      <c r="B199" s="7" t="s">
        <v>261</v>
      </c>
      <c r="C199" s="7" t="s">
        <v>473</v>
      </c>
      <c r="D199" s="7" t="s">
        <v>279</v>
      </c>
      <c r="E199" s="19">
        <v>0.0</v>
      </c>
      <c r="F199" s="19">
        <v>0.0</v>
      </c>
      <c r="G199" s="19">
        <v>0.0</v>
      </c>
      <c r="H199" s="6">
        <f>E199*PV_SESSION+F199*PV_CHALLENGE+G199*PV_WIN</f>
        <v>0</v>
      </c>
    </row>
    <row r="200" ht="15.75" customHeight="1">
      <c r="A200" s="7" t="s">
        <v>260</v>
      </c>
      <c r="B200" s="7" t="s">
        <v>261</v>
      </c>
      <c r="C200" s="7" t="s">
        <v>474</v>
      </c>
      <c r="D200" s="7" t="s">
        <v>281</v>
      </c>
      <c r="E200" s="19">
        <v>0.0</v>
      </c>
      <c r="F200" s="19">
        <v>0.0</v>
      </c>
      <c r="G200" s="19">
        <v>0.0</v>
      </c>
      <c r="H200" s="6">
        <f>E200*PV_SESSION+F200*PV_CHALLENGE+G200*PV_WIN</f>
        <v>0</v>
      </c>
    </row>
    <row r="201" ht="15.75" customHeight="1">
      <c r="A201" s="7" t="s">
        <v>262</v>
      </c>
      <c r="B201" s="7" t="s">
        <v>263</v>
      </c>
      <c r="C201" s="7" t="s">
        <v>475</v>
      </c>
      <c r="D201" s="7" t="s">
        <v>279</v>
      </c>
      <c r="E201" s="19">
        <v>0.0</v>
      </c>
      <c r="F201" s="19">
        <v>0.0</v>
      </c>
      <c r="G201" s="19">
        <v>0.0</v>
      </c>
      <c r="H201" s="6">
        <f>E201*PV_SESSION+F201*PV_CHALLENGE+G201*PV_WIN</f>
        <v>0</v>
      </c>
    </row>
    <row r="202" ht="15.75" customHeight="1">
      <c r="A202" s="7" t="s">
        <v>262</v>
      </c>
      <c r="B202" s="7" t="s">
        <v>263</v>
      </c>
      <c r="C202" s="7" t="s">
        <v>476</v>
      </c>
      <c r="D202" s="7" t="s">
        <v>281</v>
      </c>
      <c r="E202" s="19">
        <v>0.0</v>
      </c>
      <c r="F202" s="19">
        <v>0.0</v>
      </c>
      <c r="G202" s="19">
        <v>0.0</v>
      </c>
      <c r="H202" s="6">
        <f>E202*PV_SESSION+F202*PV_CHALLENGE+G202*PV_WIN</f>
        <v>0</v>
      </c>
    </row>
    <row r="203" ht="15.75" customHeight="1">
      <c r="A203" s="7" t="s">
        <v>262</v>
      </c>
      <c r="B203" s="7" t="s">
        <v>263</v>
      </c>
      <c r="C203" s="7" t="s">
        <v>477</v>
      </c>
      <c r="D203" s="7" t="s">
        <v>281</v>
      </c>
      <c r="E203" s="19">
        <v>0.0</v>
      </c>
      <c r="F203" s="19">
        <v>0.0</v>
      </c>
      <c r="G203" s="19">
        <v>0.0</v>
      </c>
      <c r="H203" s="6">
        <f>E203*PV_SESSION+F203*PV_CHALLENGE+G203*PV_WIN</f>
        <v>0</v>
      </c>
    </row>
    <row r="204" ht="15.75" customHeight="1">
      <c r="A204" s="7" t="s">
        <v>264</v>
      </c>
      <c r="B204" s="7" t="s">
        <v>265</v>
      </c>
      <c r="C204" s="7" t="s">
        <v>478</v>
      </c>
      <c r="D204" s="7" t="s">
        <v>279</v>
      </c>
      <c r="E204" s="19">
        <v>0.0</v>
      </c>
      <c r="F204" s="19">
        <v>0.0</v>
      </c>
      <c r="G204" s="19">
        <v>0.0</v>
      </c>
      <c r="H204" s="6">
        <f>E204*PV_SESSION+F204*PV_CHALLENGE+G204*PV_WIN</f>
        <v>0</v>
      </c>
    </row>
    <row r="205" ht="15.75" customHeight="1">
      <c r="A205" s="7" t="s">
        <v>264</v>
      </c>
      <c r="B205" s="7" t="s">
        <v>265</v>
      </c>
      <c r="C205" s="7" t="s">
        <v>479</v>
      </c>
      <c r="D205" s="7" t="s">
        <v>281</v>
      </c>
      <c r="E205" s="19">
        <v>0.0</v>
      </c>
      <c r="F205" s="19">
        <v>0.0</v>
      </c>
      <c r="G205" s="19">
        <v>0.0</v>
      </c>
      <c r="H205" s="6">
        <f>E205*PV_SESSION+F205*PV_CHALLENGE+G205*PV_WIN</f>
        <v>0</v>
      </c>
    </row>
    <row r="206" ht="15.75" customHeight="1">
      <c r="A206" s="7" t="s">
        <v>266</v>
      </c>
      <c r="B206" s="7" t="s">
        <v>267</v>
      </c>
      <c r="C206" s="7" t="s">
        <v>480</v>
      </c>
      <c r="D206" s="7" t="s">
        <v>279</v>
      </c>
      <c r="E206" s="19">
        <v>0.0</v>
      </c>
      <c r="F206" s="18">
        <v>1.0</v>
      </c>
      <c r="G206" s="18">
        <v>1.0</v>
      </c>
      <c r="H206" s="6">
        <f>E206*PV_SESSION+F206*PV_CHALLENGE+G206*PV_WIN</f>
        <v>50</v>
      </c>
    </row>
    <row r="207" ht="15.75" customHeight="1">
      <c r="A207" s="7" t="s">
        <v>266</v>
      </c>
      <c r="B207" s="7" t="s">
        <v>267</v>
      </c>
      <c r="C207" s="7" t="s">
        <v>481</v>
      </c>
      <c r="D207" s="7" t="s">
        <v>281</v>
      </c>
      <c r="E207" s="19">
        <v>0.0</v>
      </c>
      <c r="F207" s="19">
        <v>0.0</v>
      </c>
      <c r="G207" s="19">
        <v>0.0</v>
      </c>
      <c r="H207" s="6">
        <f>E207*PV_SESSION+F207*PV_CHALLENGE+G207*PV_WIN</f>
        <v>0</v>
      </c>
    </row>
    <row r="208" ht="15.75" customHeight="1">
      <c r="A208" s="7" t="s">
        <v>266</v>
      </c>
      <c r="B208" s="7" t="s">
        <v>267</v>
      </c>
      <c r="C208" s="7" t="s">
        <v>444</v>
      </c>
      <c r="D208" s="7" t="s">
        <v>281</v>
      </c>
      <c r="E208" s="19">
        <v>0.0</v>
      </c>
      <c r="F208" s="19">
        <v>0.0</v>
      </c>
      <c r="G208" s="19">
        <v>0.0</v>
      </c>
      <c r="H208" s="6">
        <f>E208*PV_SESSION+F208*PV_CHALLENGE+G208*PV_WIN</f>
        <v>0</v>
      </c>
    </row>
    <row r="209" ht="15.75" customHeight="1">
      <c r="A209" s="7" t="s">
        <v>266</v>
      </c>
      <c r="B209" s="7" t="s">
        <v>267</v>
      </c>
      <c r="C209" s="7" t="s">
        <v>464</v>
      </c>
      <c r="D209" s="7" t="s">
        <v>281</v>
      </c>
      <c r="E209" s="19">
        <v>0.0</v>
      </c>
      <c r="F209" s="19">
        <v>0.0</v>
      </c>
      <c r="G209" s="19">
        <v>0.0</v>
      </c>
      <c r="H209" s="6">
        <f>E209*PV_SESSION+F209*PV_CHALLENGE+G209*PV_WIN</f>
        <v>0</v>
      </c>
    </row>
    <row r="210" ht="15.75" customHeight="1">
      <c r="A210" s="7" t="s">
        <v>268</v>
      </c>
      <c r="B210" s="7" t="s">
        <v>269</v>
      </c>
      <c r="C210" s="7" t="s">
        <v>482</v>
      </c>
      <c r="D210" s="7" t="s">
        <v>279</v>
      </c>
      <c r="E210" s="19">
        <v>0.0</v>
      </c>
      <c r="F210" s="19">
        <v>0.0</v>
      </c>
      <c r="G210" s="19">
        <v>0.0</v>
      </c>
      <c r="H210" s="6">
        <f>E210*PV_SESSION+F210*PV_CHALLENGE+G210*PV_WIN</f>
        <v>0</v>
      </c>
    </row>
    <row r="211" ht="15.75" customHeight="1">
      <c r="A211" s="7" t="s">
        <v>268</v>
      </c>
      <c r="B211" s="7" t="s">
        <v>269</v>
      </c>
      <c r="C211" s="7" t="s">
        <v>483</v>
      </c>
      <c r="D211" s="7" t="s">
        <v>281</v>
      </c>
      <c r="E211" s="19">
        <v>0.0</v>
      </c>
      <c r="F211" s="19">
        <v>0.0</v>
      </c>
      <c r="G211" s="19">
        <v>0.0</v>
      </c>
      <c r="H211" s="6">
        <f>E211*PV_SESSION+F211*PV_CHALLENGE+G211*PV_WIN</f>
        <v>0</v>
      </c>
    </row>
    <row r="212" ht="15.75" customHeight="1">
      <c r="A212" s="7" t="s">
        <v>270</v>
      </c>
      <c r="B212" s="7" t="s">
        <v>271</v>
      </c>
      <c r="C212" s="7" t="s">
        <v>484</v>
      </c>
      <c r="D212" s="7" t="s">
        <v>279</v>
      </c>
      <c r="E212" s="19">
        <v>0.0</v>
      </c>
      <c r="F212" s="18">
        <v>1.0</v>
      </c>
      <c r="G212" s="19">
        <v>0.0</v>
      </c>
      <c r="H212" s="6">
        <f>E212*PV_SESSION+F212*PV_CHALLENGE+G212*PV_WIN</f>
        <v>20</v>
      </c>
    </row>
    <row r="213" ht="15.75" customHeight="1">
      <c r="A213" s="7" t="s">
        <v>270</v>
      </c>
      <c r="B213" s="7" t="s">
        <v>271</v>
      </c>
      <c r="C213" s="7" t="s">
        <v>485</v>
      </c>
      <c r="D213" s="7" t="s">
        <v>281</v>
      </c>
      <c r="E213" s="19">
        <v>0.0</v>
      </c>
      <c r="F213" s="18">
        <v>1.0</v>
      </c>
      <c r="G213" s="19">
        <v>0.0</v>
      </c>
      <c r="H213" s="6">
        <f>E213*PV_SESSION+F213*PV_CHALLENGE+G213*PV_WIN</f>
        <v>20</v>
      </c>
    </row>
    <row r="214" ht="15.75" customHeight="1">
      <c r="A214" s="7" t="s">
        <v>272</v>
      </c>
      <c r="B214" s="7" t="s">
        <v>273</v>
      </c>
      <c r="C214" s="7" t="s">
        <v>486</v>
      </c>
      <c r="D214" s="7" t="s">
        <v>279</v>
      </c>
      <c r="E214" s="19">
        <v>0.0</v>
      </c>
      <c r="F214" s="19">
        <v>0.0</v>
      </c>
      <c r="G214" s="19">
        <v>0.0</v>
      </c>
      <c r="H214" s="6">
        <f>E214*PV_SESSION+F214*PV_CHALLENGE+G214*PV_WIN</f>
        <v>0</v>
      </c>
    </row>
    <row r="215" ht="15.75" customHeight="1">
      <c r="A215" s="7" t="s">
        <v>272</v>
      </c>
      <c r="B215" s="7" t="s">
        <v>273</v>
      </c>
      <c r="C215" s="7" t="s">
        <v>487</v>
      </c>
      <c r="D215" s="7" t="s">
        <v>281</v>
      </c>
      <c r="E215" s="19">
        <v>0.0</v>
      </c>
      <c r="F215" s="19">
        <v>0.0</v>
      </c>
      <c r="G215" s="19">
        <v>0.0</v>
      </c>
      <c r="H215" s="6">
        <f>E215*PV_SESSION+F215*PV_CHALLENGE+G215*PV_WIN</f>
        <v>0</v>
      </c>
    </row>
    <row r="216" ht="15.75" customHeight="1">
      <c r="A216" s="7" t="s">
        <v>272</v>
      </c>
      <c r="B216" s="7" t="s">
        <v>273</v>
      </c>
      <c r="C216" s="7" t="s">
        <v>488</v>
      </c>
      <c r="D216" s="7" t="s">
        <v>281</v>
      </c>
      <c r="E216" s="19">
        <v>0.0</v>
      </c>
      <c r="F216" s="19">
        <v>0.0</v>
      </c>
      <c r="G216" s="19">
        <v>0.0</v>
      </c>
      <c r="H216" s="6">
        <f>E216*PV_SESSION+F216*PV_CHALLENGE+G216*PV_WIN</f>
        <v>0</v>
      </c>
    </row>
    <row r="217" ht="15.75" customHeight="1">
      <c r="A217" s="7" t="s">
        <v>272</v>
      </c>
      <c r="B217" s="7" t="s">
        <v>273</v>
      </c>
      <c r="C217" s="7" t="s">
        <v>489</v>
      </c>
      <c r="D217" s="7" t="s">
        <v>281</v>
      </c>
      <c r="E217" s="19">
        <v>0.0</v>
      </c>
      <c r="F217" s="19">
        <v>0.0</v>
      </c>
      <c r="G217" s="19">
        <v>0.0</v>
      </c>
      <c r="H217" s="6">
        <f>E217*PV_SESSION+F217*PV_CHALLENGE+G217*PV_WIN</f>
        <v>0</v>
      </c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24.0"/>
    <col customWidth="1" min="4" max="4" width="14.0"/>
    <col customWidth="1" min="5" max="5" width="16.0"/>
    <col customWidth="1" min="6" max="6" width="22.0"/>
    <col customWidth="1" min="7" max="7" width="18.0"/>
    <col customWidth="1" min="8" max="8" width="16.0"/>
    <col customWidth="1" min="9" max="26" width="8.71"/>
  </cols>
  <sheetData>
    <row r="1">
      <c r="A1" s="3" t="s">
        <v>69</v>
      </c>
      <c r="B1" s="3" t="s">
        <v>70</v>
      </c>
      <c r="C1" s="3" t="s">
        <v>276</v>
      </c>
      <c r="D1" s="3" t="s">
        <v>277</v>
      </c>
      <c r="E1" s="3" t="s">
        <v>490</v>
      </c>
      <c r="F1" s="3" t="s">
        <v>491</v>
      </c>
      <c r="G1" s="3" t="s">
        <v>492</v>
      </c>
      <c r="H1" s="3" t="s">
        <v>493</v>
      </c>
    </row>
    <row r="2">
      <c r="A2" s="7" t="s">
        <v>79</v>
      </c>
      <c r="B2" s="7" t="s">
        <v>80</v>
      </c>
      <c r="C2" s="7" t="s">
        <v>278</v>
      </c>
      <c r="D2" s="7" t="s">
        <v>279</v>
      </c>
      <c r="E2" s="18">
        <v>2.0</v>
      </c>
      <c r="F2" s="18">
        <v>1.0</v>
      </c>
      <c r="G2" s="18">
        <v>1.0</v>
      </c>
      <c r="H2" s="6">
        <f>E2*PV_SESSION+F2*PV_CHALLENGE+G2*PV_WIN</f>
        <v>60</v>
      </c>
    </row>
    <row r="3">
      <c r="A3" s="7" t="s">
        <v>79</v>
      </c>
      <c r="B3" s="7" t="s">
        <v>80</v>
      </c>
      <c r="C3" s="7" t="s">
        <v>280</v>
      </c>
      <c r="D3" s="7" t="s">
        <v>281</v>
      </c>
      <c r="E3" s="18">
        <v>2.0</v>
      </c>
      <c r="F3" s="18">
        <v>1.0</v>
      </c>
      <c r="G3" s="19">
        <v>0.0</v>
      </c>
      <c r="H3" s="6">
        <f>E3*PV_SESSION+F3*PV_CHALLENGE+G3*PV_WIN</f>
        <v>30</v>
      </c>
    </row>
    <row r="4">
      <c r="A4" s="7" t="s">
        <v>79</v>
      </c>
      <c r="B4" s="7" t="s">
        <v>80</v>
      </c>
      <c r="C4" s="7" t="s">
        <v>282</v>
      </c>
      <c r="D4" s="7" t="s">
        <v>281</v>
      </c>
      <c r="E4" s="18">
        <v>2.0</v>
      </c>
      <c r="F4" s="18">
        <v>1.0</v>
      </c>
      <c r="G4" s="19">
        <v>0.0</v>
      </c>
      <c r="H4" s="6">
        <f>E4*PV_SESSION+F4*PV_CHALLENGE+G4*PV_WIN</f>
        <v>30</v>
      </c>
    </row>
    <row r="5">
      <c r="A5" s="7" t="s">
        <v>79</v>
      </c>
      <c r="B5" s="7" t="s">
        <v>80</v>
      </c>
      <c r="C5" s="7" t="s">
        <v>283</v>
      </c>
      <c r="D5" s="7" t="s">
        <v>281</v>
      </c>
      <c r="E5" s="18">
        <v>2.0</v>
      </c>
      <c r="F5" s="18">
        <v>1.0</v>
      </c>
      <c r="G5" s="19">
        <v>0.0</v>
      </c>
      <c r="H5" s="6">
        <f>E5*PV_SESSION+F5*PV_CHALLENGE+G5*PV_WIN</f>
        <v>30</v>
      </c>
    </row>
    <row r="6">
      <c r="A6" s="7" t="s">
        <v>82</v>
      </c>
      <c r="B6" s="7" t="s">
        <v>83</v>
      </c>
      <c r="C6" s="7" t="s">
        <v>284</v>
      </c>
      <c r="D6" s="7" t="s">
        <v>279</v>
      </c>
      <c r="E6" s="19">
        <v>0.0</v>
      </c>
      <c r="F6" s="19">
        <v>0.0</v>
      </c>
      <c r="G6" s="19">
        <v>0.0</v>
      </c>
      <c r="H6" s="6">
        <f>E6*PV_SESSION+F6*PV_CHALLENGE+G6*PV_WIN</f>
        <v>0</v>
      </c>
    </row>
    <row r="7">
      <c r="A7" s="7" t="s">
        <v>82</v>
      </c>
      <c r="B7" s="7" t="s">
        <v>83</v>
      </c>
      <c r="C7" s="7" t="s">
        <v>285</v>
      </c>
      <c r="D7" s="7" t="s">
        <v>281</v>
      </c>
      <c r="E7" s="19">
        <v>0.0</v>
      </c>
      <c r="F7" s="19">
        <v>0.0</v>
      </c>
      <c r="G7" s="19">
        <v>0.0</v>
      </c>
      <c r="H7" s="6">
        <f>E7*PV_SESSION+F7*PV_CHALLENGE+G7*PV_WIN</f>
        <v>0</v>
      </c>
    </row>
    <row r="8">
      <c r="A8" s="7" t="s">
        <v>84</v>
      </c>
      <c r="B8" s="7" t="s">
        <v>85</v>
      </c>
      <c r="C8" s="7" t="s">
        <v>286</v>
      </c>
      <c r="D8" s="7" t="s">
        <v>279</v>
      </c>
      <c r="E8" s="19">
        <v>0.0</v>
      </c>
      <c r="F8" s="19">
        <v>0.0</v>
      </c>
      <c r="G8" s="19">
        <v>0.0</v>
      </c>
      <c r="H8" s="6">
        <f>E8*PV_SESSION+F8*PV_CHALLENGE+G8*PV_WIN</f>
        <v>0</v>
      </c>
    </row>
    <row r="9">
      <c r="A9" s="7" t="s">
        <v>84</v>
      </c>
      <c r="B9" s="7" t="s">
        <v>85</v>
      </c>
      <c r="C9" s="7" t="s">
        <v>287</v>
      </c>
      <c r="D9" s="7" t="s">
        <v>281</v>
      </c>
      <c r="E9" s="19">
        <v>0.0</v>
      </c>
      <c r="F9" s="19">
        <v>0.0</v>
      </c>
      <c r="G9" s="19">
        <v>0.0</v>
      </c>
      <c r="H9" s="6">
        <f>E9*PV_SESSION+F9*PV_CHALLENGE+G9*PV_WIN</f>
        <v>0</v>
      </c>
    </row>
    <row r="10">
      <c r="A10" s="7" t="s">
        <v>87</v>
      </c>
      <c r="B10" s="7" t="s">
        <v>88</v>
      </c>
      <c r="C10" s="7" t="s">
        <v>288</v>
      </c>
      <c r="D10" s="7" t="s">
        <v>279</v>
      </c>
      <c r="E10" s="19">
        <v>0.0</v>
      </c>
      <c r="F10" s="19">
        <v>0.0</v>
      </c>
      <c r="G10" s="19">
        <v>0.0</v>
      </c>
      <c r="H10" s="6">
        <f>E10*PV_SESSION+F10*PV_CHALLENGE+G10*PV_WIN</f>
        <v>0</v>
      </c>
    </row>
    <row r="11">
      <c r="A11" s="7" t="s">
        <v>87</v>
      </c>
      <c r="B11" s="7" t="s">
        <v>88</v>
      </c>
      <c r="C11" s="7" t="s">
        <v>289</v>
      </c>
      <c r="D11" s="7" t="s">
        <v>281</v>
      </c>
      <c r="E11" s="19">
        <v>0.0</v>
      </c>
      <c r="F11" s="19">
        <v>0.0</v>
      </c>
      <c r="G11" s="19">
        <v>0.0</v>
      </c>
      <c r="H11" s="6">
        <f>E11*PV_SESSION+F11*PV_CHALLENGE+G11*PV_WIN</f>
        <v>0</v>
      </c>
    </row>
    <row r="12">
      <c r="A12" s="7" t="s">
        <v>89</v>
      </c>
      <c r="B12" s="7" t="s">
        <v>90</v>
      </c>
      <c r="C12" s="7" t="s">
        <v>290</v>
      </c>
      <c r="D12" s="7" t="s">
        <v>279</v>
      </c>
      <c r="E12" s="19">
        <v>0.0</v>
      </c>
      <c r="F12" s="19">
        <v>0.0</v>
      </c>
      <c r="G12" s="19">
        <v>0.0</v>
      </c>
      <c r="H12" s="6">
        <f>E12*PV_SESSION+F12*PV_CHALLENGE+G12*PV_WIN</f>
        <v>0</v>
      </c>
    </row>
    <row r="13">
      <c r="A13" s="7" t="s">
        <v>89</v>
      </c>
      <c r="B13" s="7" t="s">
        <v>90</v>
      </c>
      <c r="C13" s="7" t="s">
        <v>291</v>
      </c>
      <c r="D13" s="7" t="s">
        <v>281</v>
      </c>
      <c r="E13" s="19">
        <v>0.0</v>
      </c>
      <c r="F13" s="19">
        <v>0.0</v>
      </c>
      <c r="G13" s="19">
        <v>0.0</v>
      </c>
      <c r="H13" s="6">
        <f>E13*PV_SESSION+F13*PV_CHALLENGE+G13*PV_WIN</f>
        <v>0</v>
      </c>
    </row>
    <row r="14">
      <c r="A14" s="7" t="s">
        <v>91</v>
      </c>
      <c r="B14" s="7" t="s">
        <v>92</v>
      </c>
      <c r="C14" s="7" t="s">
        <v>292</v>
      </c>
      <c r="D14" s="7" t="s">
        <v>279</v>
      </c>
      <c r="E14" s="19">
        <v>0.0</v>
      </c>
      <c r="F14" s="19">
        <v>0.0</v>
      </c>
      <c r="G14" s="19">
        <v>0.0</v>
      </c>
      <c r="H14" s="6">
        <f>E14*PV_SESSION+F14*PV_CHALLENGE+G14*PV_WIN</f>
        <v>0</v>
      </c>
    </row>
    <row r="15">
      <c r="A15" s="7" t="s">
        <v>91</v>
      </c>
      <c r="B15" s="7" t="s">
        <v>92</v>
      </c>
      <c r="C15" s="7" t="s">
        <v>293</v>
      </c>
      <c r="D15" s="7" t="s">
        <v>281</v>
      </c>
      <c r="E15" s="19">
        <v>0.0</v>
      </c>
      <c r="F15" s="19">
        <v>0.0</v>
      </c>
      <c r="G15" s="19">
        <v>0.0</v>
      </c>
      <c r="H15" s="6">
        <f>E15*PV_SESSION+F15*PV_CHALLENGE+G15*PV_WIN</f>
        <v>0</v>
      </c>
    </row>
    <row r="16">
      <c r="A16" s="7" t="s">
        <v>93</v>
      </c>
      <c r="B16" s="7" t="s">
        <v>94</v>
      </c>
      <c r="C16" s="7" t="s">
        <v>294</v>
      </c>
      <c r="D16" s="7" t="s">
        <v>279</v>
      </c>
      <c r="E16" s="18">
        <v>2.0</v>
      </c>
      <c r="F16" s="18">
        <v>1.0</v>
      </c>
      <c r="G16" s="19">
        <v>0.0</v>
      </c>
      <c r="H16" s="6">
        <f>E16*PV_SESSION+F16*PV_CHALLENGE+G16*PV_WIN</f>
        <v>30</v>
      </c>
    </row>
    <row r="17">
      <c r="A17" s="7" t="s">
        <v>93</v>
      </c>
      <c r="B17" s="7" t="s">
        <v>94</v>
      </c>
      <c r="C17" s="7" t="s">
        <v>295</v>
      </c>
      <c r="D17" s="7" t="s">
        <v>281</v>
      </c>
      <c r="E17" s="18">
        <v>2.0</v>
      </c>
      <c r="F17" s="18">
        <v>1.0</v>
      </c>
      <c r="G17" s="18">
        <v>1.0</v>
      </c>
      <c r="H17" s="6">
        <f>E17*PV_SESSION+F17*PV_CHALLENGE+G17*PV_WIN</f>
        <v>60</v>
      </c>
    </row>
    <row r="18">
      <c r="A18" s="7" t="s">
        <v>93</v>
      </c>
      <c r="B18" s="7" t="s">
        <v>94</v>
      </c>
      <c r="C18" s="7" t="s">
        <v>296</v>
      </c>
      <c r="D18" s="7" t="s">
        <v>281</v>
      </c>
      <c r="E18" s="18">
        <v>2.0</v>
      </c>
      <c r="F18" s="18">
        <v>1.0</v>
      </c>
      <c r="G18" s="18">
        <v>1.0</v>
      </c>
      <c r="H18" s="6">
        <f>E18*PV_SESSION+F18*PV_CHALLENGE+G18*PV_WIN</f>
        <v>60</v>
      </c>
    </row>
    <row r="19">
      <c r="A19" s="7" t="s">
        <v>93</v>
      </c>
      <c r="B19" s="7" t="s">
        <v>94</v>
      </c>
      <c r="C19" s="7" t="s">
        <v>297</v>
      </c>
      <c r="D19" s="7" t="s">
        <v>281</v>
      </c>
      <c r="E19" s="19">
        <v>0.0</v>
      </c>
      <c r="F19" s="18">
        <v>1.0</v>
      </c>
      <c r="G19" s="19">
        <v>0.0</v>
      </c>
      <c r="H19" s="6">
        <f>E19*PV_SESSION+F19*PV_CHALLENGE+G19*PV_WIN</f>
        <v>20</v>
      </c>
    </row>
    <row r="20">
      <c r="A20" s="7" t="s">
        <v>96</v>
      </c>
      <c r="B20" s="7" t="s">
        <v>97</v>
      </c>
      <c r="C20" s="7" t="s">
        <v>298</v>
      </c>
      <c r="D20" s="7" t="s">
        <v>279</v>
      </c>
      <c r="E20" s="19">
        <v>0.0</v>
      </c>
      <c r="F20" s="19">
        <v>0.0</v>
      </c>
      <c r="G20" s="19">
        <v>0.0</v>
      </c>
      <c r="H20" s="6">
        <f>E20*PV_SESSION+F20*PV_CHALLENGE+G20*PV_WIN</f>
        <v>0</v>
      </c>
    </row>
    <row r="21" ht="15.75" customHeight="1">
      <c r="A21" s="7" t="s">
        <v>96</v>
      </c>
      <c r="B21" s="7" t="s">
        <v>97</v>
      </c>
      <c r="C21" s="7" t="s">
        <v>299</v>
      </c>
      <c r="D21" s="7" t="s">
        <v>281</v>
      </c>
      <c r="E21" s="19">
        <v>0.0</v>
      </c>
      <c r="F21" s="19">
        <v>0.0</v>
      </c>
      <c r="G21" s="19">
        <v>0.0</v>
      </c>
      <c r="H21" s="6">
        <f>E21*PV_SESSION+F21*PV_CHALLENGE+G21*PV_WIN</f>
        <v>0</v>
      </c>
    </row>
    <row r="22" ht="15.75" customHeight="1">
      <c r="A22" s="7" t="s">
        <v>96</v>
      </c>
      <c r="B22" s="7" t="s">
        <v>97</v>
      </c>
      <c r="C22" s="7" t="s">
        <v>300</v>
      </c>
      <c r="D22" s="7" t="s">
        <v>281</v>
      </c>
      <c r="E22" s="19">
        <v>0.0</v>
      </c>
      <c r="F22" s="19">
        <v>0.0</v>
      </c>
      <c r="G22" s="19">
        <v>0.0</v>
      </c>
      <c r="H22" s="6">
        <f>E22*PV_SESSION+F22*PV_CHALLENGE+G22*PV_WIN</f>
        <v>0</v>
      </c>
    </row>
    <row r="23" ht="15.75" customHeight="1">
      <c r="A23" s="7" t="s">
        <v>98</v>
      </c>
      <c r="B23" s="7" t="s">
        <v>99</v>
      </c>
      <c r="C23" s="7" t="s">
        <v>301</v>
      </c>
      <c r="D23" s="7" t="s">
        <v>279</v>
      </c>
      <c r="E23" s="19">
        <v>0.0</v>
      </c>
      <c r="F23" s="18">
        <v>1.0</v>
      </c>
      <c r="G23" s="19">
        <v>0.0</v>
      </c>
      <c r="H23" s="6">
        <f>E23*PV_SESSION+F23*PV_CHALLENGE+G23*PV_WIN</f>
        <v>20</v>
      </c>
    </row>
    <row r="24" ht="15.75" customHeight="1">
      <c r="A24" s="7" t="s">
        <v>98</v>
      </c>
      <c r="B24" s="7" t="s">
        <v>99</v>
      </c>
      <c r="C24" s="7" t="s">
        <v>302</v>
      </c>
      <c r="D24" s="7" t="s">
        <v>281</v>
      </c>
      <c r="E24" s="19">
        <v>0.0</v>
      </c>
      <c r="F24" s="19">
        <v>0.0</v>
      </c>
      <c r="G24" s="19">
        <v>0.0</v>
      </c>
      <c r="H24" s="6">
        <f>E24*PV_SESSION+F24*PV_CHALLENGE+G24*PV_WIN</f>
        <v>0</v>
      </c>
    </row>
    <row r="25" ht="15.75" customHeight="1">
      <c r="A25" s="7" t="s">
        <v>100</v>
      </c>
      <c r="B25" s="7" t="s">
        <v>101</v>
      </c>
      <c r="C25" s="7" t="s">
        <v>303</v>
      </c>
      <c r="D25" s="7" t="s">
        <v>279</v>
      </c>
      <c r="E25" s="19">
        <v>0.0</v>
      </c>
      <c r="F25" s="19">
        <v>0.0</v>
      </c>
      <c r="G25" s="19">
        <v>0.0</v>
      </c>
      <c r="H25" s="6">
        <f>E25*PV_SESSION+F25*PV_CHALLENGE+G25*PV_WIN</f>
        <v>0</v>
      </c>
    </row>
    <row r="26" ht="15.75" customHeight="1">
      <c r="A26" s="7" t="s">
        <v>100</v>
      </c>
      <c r="B26" s="7" t="s">
        <v>101</v>
      </c>
      <c r="C26" s="7" t="s">
        <v>304</v>
      </c>
      <c r="D26" s="7" t="s">
        <v>281</v>
      </c>
      <c r="E26" s="19">
        <v>0.0</v>
      </c>
      <c r="F26" s="19">
        <v>0.0</v>
      </c>
      <c r="G26" s="19">
        <v>0.0</v>
      </c>
      <c r="H26" s="6">
        <f>E26*PV_SESSION+F26*PV_CHALLENGE+G26*PV_WIN</f>
        <v>0</v>
      </c>
    </row>
    <row r="27" ht="15.75" customHeight="1">
      <c r="A27" s="7" t="s">
        <v>100</v>
      </c>
      <c r="B27" s="7" t="s">
        <v>101</v>
      </c>
      <c r="C27" s="7" t="s">
        <v>305</v>
      </c>
      <c r="D27" s="7" t="s">
        <v>281</v>
      </c>
      <c r="E27" s="19">
        <v>0.0</v>
      </c>
      <c r="F27" s="19">
        <v>0.0</v>
      </c>
      <c r="G27" s="19">
        <v>0.0</v>
      </c>
      <c r="H27" s="6">
        <f>E27*PV_SESSION+F27*PV_CHALLENGE+G27*PV_WIN</f>
        <v>0</v>
      </c>
    </row>
    <row r="28" ht="15.75" customHeight="1">
      <c r="A28" s="7" t="s">
        <v>100</v>
      </c>
      <c r="B28" s="7" t="s">
        <v>101</v>
      </c>
      <c r="C28" s="7" t="s">
        <v>306</v>
      </c>
      <c r="D28" s="7" t="s">
        <v>281</v>
      </c>
      <c r="E28" s="19">
        <v>0.0</v>
      </c>
      <c r="F28" s="19">
        <v>0.0</v>
      </c>
      <c r="G28" s="19">
        <v>0.0</v>
      </c>
      <c r="H28" s="6">
        <f>E28*PV_SESSION+F28*PV_CHALLENGE+G28*PV_WIN</f>
        <v>0</v>
      </c>
    </row>
    <row r="29" ht="15.75" customHeight="1">
      <c r="A29" s="7" t="s">
        <v>102</v>
      </c>
      <c r="B29" s="7" t="s">
        <v>103</v>
      </c>
      <c r="C29" s="7" t="s">
        <v>307</v>
      </c>
      <c r="D29" s="7" t="s">
        <v>279</v>
      </c>
      <c r="E29" s="19">
        <v>0.0</v>
      </c>
      <c r="F29" s="18">
        <v>1.0</v>
      </c>
      <c r="G29" s="19">
        <v>0.0</v>
      </c>
      <c r="H29" s="6">
        <f>E29*PV_SESSION+F29*PV_CHALLENGE+G29*PV_WIN</f>
        <v>20</v>
      </c>
    </row>
    <row r="30" ht="15.75" customHeight="1">
      <c r="A30" s="7" t="s">
        <v>102</v>
      </c>
      <c r="B30" s="7" t="s">
        <v>103</v>
      </c>
      <c r="C30" s="7" t="s">
        <v>308</v>
      </c>
      <c r="D30" s="7" t="s">
        <v>281</v>
      </c>
      <c r="E30" s="19">
        <v>0.0</v>
      </c>
      <c r="F30" s="18">
        <v>1.0</v>
      </c>
      <c r="G30" s="19">
        <v>0.0</v>
      </c>
      <c r="H30" s="6">
        <f>E30*PV_SESSION+F30*PV_CHALLENGE+G30*PV_WIN</f>
        <v>20</v>
      </c>
    </row>
    <row r="31" ht="15.75" customHeight="1">
      <c r="A31" s="7" t="s">
        <v>102</v>
      </c>
      <c r="B31" s="7" t="s">
        <v>103</v>
      </c>
      <c r="C31" s="7" t="s">
        <v>309</v>
      </c>
      <c r="D31" s="7" t="s">
        <v>281</v>
      </c>
      <c r="E31" s="19">
        <v>0.0</v>
      </c>
      <c r="F31" s="18">
        <v>1.0</v>
      </c>
      <c r="G31" s="19">
        <v>0.0</v>
      </c>
      <c r="H31" s="6">
        <f>E31*PV_SESSION+F31*PV_CHALLENGE+G31*PV_WIN</f>
        <v>20</v>
      </c>
    </row>
    <row r="32" ht="15.75" customHeight="1">
      <c r="A32" s="7" t="s">
        <v>102</v>
      </c>
      <c r="B32" s="7" t="s">
        <v>103</v>
      </c>
      <c r="C32" s="7" t="s">
        <v>310</v>
      </c>
      <c r="D32" s="7" t="s">
        <v>281</v>
      </c>
      <c r="E32" s="19">
        <v>0.0</v>
      </c>
      <c r="F32" s="19">
        <v>0.0</v>
      </c>
      <c r="G32" s="19">
        <v>0.0</v>
      </c>
      <c r="H32" s="6">
        <f>E32*PV_SESSION+F32*PV_CHALLENGE+G32*PV_WIN</f>
        <v>0</v>
      </c>
    </row>
    <row r="33" ht="15.75" customHeight="1">
      <c r="A33" s="7" t="s">
        <v>104</v>
      </c>
      <c r="B33" s="7" t="s">
        <v>105</v>
      </c>
      <c r="C33" s="7" t="s">
        <v>311</v>
      </c>
      <c r="D33" s="7" t="s">
        <v>279</v>
      </c>
      <c r="E33" s="19">
        <v>0.0</v>
      </c>
      <c r="F33" s="19">
        <v>0.0</v>
      </c>
      <c r="G33" s="19">
        <v>0.0</v>
      </c>
      <c r="H33" s="6">
        <f>E33*PV_SESSION+F33*PV_CHALLENGE+G33*PV_WIN</f>
        <v>0</v>
      </c>
    </row>
    <row r="34" ht="15.75" customHeight="1">
      <c r="A34" s="7" t="s">
        <v>104</v>
      </c>
      <c r="B34" s="7" t="s">
        <v>105</v>
      </c>
      <c r="C34" s="7" t="s">
        <v>312</v>
      </c>
      <c r="D34" s="7" t="s">
        <v>281</v>
      </c>
      <c r="E34" s="19">
        <v>0.0</v>
      </c>
      <c r="F34" s="19">
        <v>0.0</v>
      </c>
      <c r="G34" s="19">
        <v>0.0</v>
      </c>
      <c r="H34" s="6">
        <f>E34*PV_SESSION+F34*PV_CHALLENGE+G34*PV_WIN</f>
        <v>0</v>
      </c>
    </row>
    <row r="35" ht="15.75" customHeight="1">
      <c r="A35" s="7" t="s">
        <v>106</v>
      </c>
      <c r="B35" s="7" t="s">
        <v>107</v>
      </c>
      <c r="C35" s="7" t="s">
        <v>313</v>
      </c>
      <c r="D35" s="7" t="s">
        <v>279</v>
      </c>
      <c r="E35" s="19">
        <v>0.0</v>
      </c>
      <c r="F35" s="19">
        <v>0.0</v>
      </c>
      <c r="G35" s="19">
        <v>0.0</v>
      </c>
      <c r="H35" s="6">
        <f>E35*PV_SESSION+F35*PV_CHALLENGE+G35*PV_WIN</f>
        <v>0</v>
      </c>
    </row>
    <row r="36" ht="15.75" customHeight="1">
      <c r="A36" s="7" t="s">
        <v>106</v>
      </c>
      <c r="B36" s="7" t="s">
        <v>107</v>
      </c>
      <c r="C36" s="7" t="s">
        <v>314</v>
      </c>
      <c r="D36" s="7" t="s">
        <v>281</v>
      </c>
      <c r="E36" s="19">
        <v>0.0</v>
      </c>
      <c r="F36" s="19">
        <v>0.0</v>
      </c>
      <c r="G36" s="19">
        <v>0.0</v>
      </c>
      <c r="H36" s="6">
        <f>E36*PV_SESSION+F36*PV_CHALLENGE+G36*PV_WIN</f>
        <v>0</v>
      </c>
    </row>
    <row r="37" ht="15.75" customHeight="1">
      <c r="A37" s="7" t="s">
        <v>106</v>
      </c>
      <c r="B37" s="7" t="s">
        <v>107</v>
      </c>
      <c r="C37" s="7" t="s">
        <v>315</v>
      </c>
      <c r="D37" s="7" t="s">
        <v>281</v>
      </c>
      <c r="E37" s="19">
        <v>0.0</v>
      </c>
      <c r="F37" s="19">
        <v>0.0</v>
      </c>
      <c r="G37" s="19">
        <v>0.0</v>
      </c>
      <c r="H37" s="6">
        <f>E37*PV_SESSION+F37*PV_CHALLENGE+G37*PV_WIN</f>
        <v>0</v>
      </c>
    </row>
    <row r="38" ht="15.75" customHeight="1">
      <c r="A38" s="7" t="s">
        <v>108</v>
      </c>
      <c r="B38" s="7" t="s">
        <v>109</v>
      </c>
      <c r="C38" s="7" t="s">
        <v>316</v>
      </c>
      <c r="D38" s="7" t="s">
        <v>279</v>
      </c>
      <c r="E38" s="19">
        <v>0.0</v>
      </c>
      <c r="F38" s="19">
        <v>0.0</v>
      </c>
      <c r="G38" s="19">
        <v>0.0</v>
      </c>
      <c r="H38" s="6">
        <f>E38*PV_SESSION+F38*PV_CHALLENGE+G38*PV_WIN</f>
        <v>0</v>
      </c>
    </row>
    <row r="39" ht="15.75" customHeight="1">
      <c r="A39" s="7" t="s">
        <v>108</v>
      </c>
      <c r="B39" s="7" t="s">
        <v>109</v>
      </c>
      <c r="C39" s="7" t="s">
        <v>317</v>
      </c>
      <c r="D39" s="7" t="s">
        <v>281</v>
      </c>
      <c r="E39" s="19">
        <v>0.0</v>
      </c>
      <c r="F39" s="19">
        <v>0.0</v>
      </c>
      <c r="G39" s="19">
        <v>0.0</v>
      </c>
      <c r="H39" s="6">
        <f>E39*PV_SESSION+F39*PV_CHALLENGE+G39*PV_WIN</f>
        <v>0</v>
      </c>
    </row>
    <row r="40" ht="15.75" customHeight="1">
      <c r="A40" s="7" t="s">
        <v>110</v>
      </c>
      <c r="B40" s="7" t="s">
        <v>111</v>
      </c>
      <c r="C40" s="7" t="s">
        <v>318</v>
      </c>
      <c r="D40" s="7" t="s">
        <v>279</v>
      </c>
      <c r="E40" s="18">
        <v>2.0</v>
      </c>
      <c r="F40" s="18">
        <v>1.0</v>
      </c>
      <c r="G40" s="19">
        <v>0.0</v>
      </c>
      <c r="H40" s="6">
        <f>E40*PV_SESSION+F40*PV_CHALLENGE+G40*PV_WIN</f>
        <v>30</v>
      </c>
    </row>
    <row r="41" ht="15.75" customHeight="1">
      <c r="A41" s="7" t="s">
        <v>110</v>
      </c>
      <c r="B41" s="7" t="s">
        <v>111</v>
      </c>
      <c r="C41" s="7" t="s">
        <v>319</v>
      </c>
      <c r="D41" s="7" t="s">
        <v>281</v>
      </c>
      <c r="E41" s="18">
        <v>2.0</v>
      </c>
      <c r="F41" s="18">
        <v>1.0</v>
      </c>
      <c r="G41" s="18">
        <v>1.0</v>
      </c>
      <c r="H41" s="6">
        <f>E41*PV_SESSION+F41*PV_CHALLENGE+G41*PV_WIN</f>
        <v>60</v>
      </c>
    </row>
    <row r="42" ht="15.75" customHeight="1">
      <c r="A42" s="7" t="s">
        <v>110</v>
      </c>
      <c r="B42" s="7" t="s">
        <v>111</v>
      </c>
      <c r="C42" s="7" t="s">
        <v>320</v>
      </c>
      <c r="D42" s="7" t="s">
        <v>281</v>
      </c>
      <c r="E42" s="18">
        <v>1.0</v>
      </c>
      <c r="F42" s="19">
        <v>0.0</v>
      </c>
      <c r="G42" s="19">
        <v>0.0</v>
      </c>
      <c r="H42" s="6">
        <f>E42*PV_SESSION+F42*PV_CHALLENGE+G42*PV_WIN</f>
        <v>5</v>
      </c>
    </row>
    <row r="43" ht="15.75" customHeight="1">
      <c r="A43" s="7" t="s">
        <v>112</v>
      </c>
      <c r="B43" s="7" t="s">
        <v>113</v>
      </c>
      <c r="C43" s="7" t="s">
        <v>321</v>
      </c>
      <c r="D43" s="7" t="s">
        <v>279</v>
      </c>
      <c r="E43" s="19">
        <v>0.0</v>
      </c>
      <c r="F43" s="19">
        <v>0.0</v>
      </c>
      <c r="G43" s="19">
        <v>0.0</v>
      </c>
      <c r="H43" s="6">
        <f>E43*PV_SESSION+F43*PV_CHALLENGE+G43*PV_WIN</f>
        <v>0</v>
      </c>
    </row>
    <row r="44" ht="15.75" customHeight="1">
      <c r="A44" s="7" t="s">
        <v>112</v>
      </c>
      <c r="B44" s="7" t="s">
        <v>113</v>
      </c>
      <c r="C44" s="7" t="s">
        <v>322</v>
      </c>
      <c r="D44" s="7" t="s">
        <v>281</v>
      </c>
      <c r="E44" s="19">
        <v>0.0</v>
      </c>
      <c r="F44" s="19">
        <v>0.0</v>
      </c>
      <c r="G44" s="19">
        <v>0.0</v>
      </c>
      <c r="H44" s="6">
        <f>E44*PV_SESSION+F44*PV_CHALLENGE+G44*PV_WIN</f>
        <v>0</v>
      </c>
    </row>
    <row r="45" ht="15.75" customHeight="1">
      <c r="A45" s="7" t="s">
        <v>112</v>
      </c>
      <c r="B45" s="7" t="s">
        <v>113</v>
      </c>
      <c r="C45" s="7" t="s">
        <v>323</v>
      </c>
      <c r="D45" s="7" t="s">
        <v>281</v>
      </c>
      <c r="E45" s="19">
        <v>0.0</v>
      </c>
      <c r="F45" s="19">
        <v>0.0</v>
      </c>
      <c r="G45" s="19">
        <v>0.0</v>
      </c>
      <c r="H45" s="6">
        <f>E45*PV_SESSION+F45*PV_CHALLENGE+G45*PV_WIN</f>
        <v>0</v>
      </c>
    </row>
    <row r="46" ht="15.75" customHeight="1">
      <c r="A46" s="7" t="s">
        <v>114</v>
      </c>
      <c r="B46" s="7" t="s">
        <v>115</v>
      </c>
      <c r="C46" s="7" t="s">
        <v>324</v>
      </c>
      <c r="D46" s="7" t="s">
        <v>279</v>
      </c>
      <c r="E46" s="19">
        <v>0.0</v>
      </c>
      <c r="F46" s="19">
        <v>0.0</v>
      </c>
      <c r="G46" s="19">
        <v>0.0</v>
      </c>
      <c r="H46" s="6">
        <f>E46*PV_SESSION+F46*PV_CHALLENGE+G46*PV_WIN</f>
        <v>0</v>
      </c>
    </row>
    <row r="47" ht="15.75" customHeight="1">
      <c r="A47" s="7" t="s">
        <v>114</v>
      </c>
      <c r="B47" s="7" t="s">
        <v>115</v>
      </c>
      <c r="C47" s="7" t="s">
        <v>325</v>
      </c>
      <c r="D47" s="7" t="s">
        <v>281</v>
      </c>
      <c r="E47" s="19">
        <v>0.0</v>
      </c>
      <c r="F47" s="19">
        <v>0.0</v>
      </c>
      <c r="G47" s="19">
        <v>0.0</v>
      </c>
      <c r="H47" s="6">
        <f>E47*PV_SESSION+F47*PV_CHALLENGE+G47*PV_WIN</f>
        <v>0</v>
      </c>
    </row>
    <row r="48" ht="15.75" customHeight="1">
      <c r="A48" s="7" t="s">
        <v>114</v>
      </c>
      <c r="B48" s="7" t="s">
        <v>115</v>
      </c>
      <c r="C48" s="7" t="s">
        <v>326</v>
      </c>
      <c r="D48" s="7" t="s">
        <v>281</v>
      </c>
      <c r="E48" s="19">
        <v>0.0</v>
      </c>
      <c r="F48" s="19">
        <v>0.0</v>
      </c>
      <c r="G48" s="19">
        <v>0.0</v>
      </c>
      <c r="H48" s="6">
        <f>E48*PV_SESSION+F48*PV_CHALLENGE+G48*PV_WIN</f>
        <v>0</v>
      </c>
    </row>
    <row r="49" ht="15.75" customHeight="1">
      <c r="A49" s="7" t="s">
        <v>116</v>
      </c>
      <c r="B49" s="7" t="s">
        <v>117</v>
      </c>
      <c r="C49" s="7" t="s">
        <v>327</v>
      </c>
      <c r="D49" s="7" t="s">
        <v>279</v>
      </c>
      <c r="E49" s="19">
        <v>0.0</v>
      </c>
      <c r="F49" s="19">
        <v>0.0</v>
      </c>
      <c r="G49" s="19">
        <v>0.0</v>
      </c>
      <c r="H49" s="6">
        <f>E49*PV_SESSION+F49*PV_CHALLENGE+G49*PV_WIN</f>
        <v>0</v>
      </c>
    </row>
    <row r="50" ht="15.75" customHeight="1">
      <c r="A50" s="7" t="s">
        <v>116</v>
      </c>
      <c r="B50" s="7" t="s">
        <v>117</v>
      </c>
      <c r="C50" s="7" t="s">
        <v>328</v>
      </c>
      <c r="D50" s="7" t="s">
        <v>281</v>
      </c>
      <c r="E50" s="19">
        <v>0.0</v>
      </c>
      <c r="F50" s="19">
        <v>0.0</v>
      </c>
      <c r="G50" s="19">
        <v>0.0</v>
      </c>
      <c r="H50" s="6">
        <f>E50*PV_SESSION+F50*PV_CHALLENGE+G50*PV_WIN</f>
        <v>0</v>
      </c>
    </row>
    <row r="51" ht="15.75" customHeight="1">
      <c r="A51" s="7" t="s">
        <v>118</v>
      </c>
      <c r="B51" s="7" t="s">
        <v>119</v>
      </c>
      <c r="C51" s="7" t="s">
        <v>329</v>
      </c>
      <c r="D51" s="7" t="s">
        <v>279</v>
      </c>
      <c r="E51" s="19">
        <v>0.0</v>
      </c>
      <c r="F51" s="18">
        <v>1.0</v>
      </c>
      <c r="G51" s="19">
        <v>0.0</v>
      </c>
      <c r="H51" s="6">
        <f>E51*PV_SESSION+F51*PV_CHALLENGE+G51*PV_WIN</f>
        <v>20</v>
      </c>
    </row>
    <row r="52" ht="15.75" customHeight="1">
      <c r="A52" s="7" t="s">
        <v>118</v>
      </c>
      <c r="B52" s="7" t="s">
        <v>119</v>
      </c>
      <c r="C52" s="7" t="s">
        <v>330</v>
      </c>
      <c r="D52" s="7" t="s">
        <v>281</v>
      </c>
      <c r="E52" s="19">
        <v>0.0</v>
      </c>
      <c r="F52" s="19">
        <v>0.0</v>
      </c>
      <c r="G52" s="19">
        <v>0.0</v>
      </c>
      <c r="H52" s="6">
        <f>E52*PV_SESSION+F52*PV_CHALLENGE+G52*PV_WIN</f>
        <v>0</v>
      </c>
    </row>
    <row r="53" ht="15.75" customHeight="1">
      <c r="A53" s="7" t="s">
        <v>120</v>
      </c>
      <c r="B53" s="7" t="s">
        <v>121</v>
      </c>
      <c r="C53" s="7" t="s">
        <v>331</v>
      </c>
      <c r="D53" s="7" t="s">
        <v>279</v>
      </c>
      <c r="E53" s="19">
        <v>0.0</v>
      </c>
      <c r="F53" s="19">
        <v>0.0</v>
      </c>
      <c r="G53" s="19">
        <v>0.0</v>
      </c>
      <c r="H53" s="6">
        <f>E53*PV_SESSION+F53*PV_CHALLENGE+G53*PV_WIN</f>
        <v>0</v>
      </c>
    </row>
    <row r="54" ht="15.75" customHeight="1">
      <c r="A54" s="7" t="s">
        <v>120</v>
      </c>
      <c r="B54" s="7" t="s">
        <v>121</v>
      </c>
      <c r="C54" s="7" t="s">
        <v>332</v>
      </c>
      <c r="D54" s="7" t="s">
        <v>281</v>
      </c>
      <c r="E54" s="19">
        <v>0.0</v>
      </c>
      <c r="F54" s="19">
        <v>0.0</v>
      </c>
      <c r="G54" s="19">
        <v>0.0</v>
      </c>
      <c r="H54" s="6">
        <f>E54*PV_SESSION+F54*PV_CHALLENGE+G54*PV_WIN</f>
        <v>0</v>
      </c>
    </row>
    <row r="55" ht="15.75" customHeight="1">
      <c r="A55" s="7" t="s">
        <v>120</v>
      </c>
      <c r="B55" s="7" t="s">
        <v>121</v>
      </c>
      <c r="C55" s="7" t="s">
        <v>333</v>
      </c>
      <c r="D55" s="7" t="s">
        <v>281</v>
      </c>
      <c r="E55" s="19">
        <v>0.0</v>
      </c>
      <c r="F55" s="19">
        <v>0.0</v>
      </c>
      <c r="G55" s="19">
        <v>0.0</v>
      </c>
      <c r="H55" s="6">
        <f>E55*PV_SESSION+F55*PV_CHALLENGE+G55*PV_WIN</f>
        <v>0</v>
      </c>
    </row>
    <row r="56" ht="15.75" customHeight="1">
      <c r="A56" s="7" t="s">
        <v>122</v>
      </c>
      <c r="B56" s="7" t="s">
        <v>123</v>
      </c>
      <c r="C56" s="7" t="s">
        <v>334</v>
      </c>
      <c r="D56" s="7" t="s">
        <v>279</v>
      </c>
      <c r="E56" s="19">
        <v>0.0</v>
      </c>
      <c r="F56" s="19">
        <v>0.0</v>
      </c>
      <c r="G56" s="19">
        <v>0.0</v>
      </c>
      <c r="H56" s="6">
        <f>E56*PV_SESSION+F56*PV_CHALLENGE+G56*PV_WIN</f>
        <v>0</v>
      </c>
    </row>
    <row r="57" ht="15.75" customHeight="1">
      <c r="A57" s="7" t="s">
        <v>124</v>
      </c>
      <c r="B57" s="7" t="s">
        <v>125</v>
      </c>
      <c r="C57" s="7" t="s">
        <v>335</v>
      </c>
      <c r="D57" s="7" t="s">
        <v>279</v>
      </c>
      <c r="E57" s="19">
        <v>0.0</v>
      </c>
      <c r="F57" s="19">
        <v>0.0</v>
      </c>
      <c r="G57" s="19">
        <v>0.0</v>
      </c>
      <c r="H57" s="6">
        <f>E57*PV_SESSION+F57*PV_CHALLENGE+G57*PV_WIN</f>
        <v>0</v>
      </c>
    </row>
    <row r="58" ht="15.75" customHeight="1">
      <c r="A58" s="7" t="s">
        <v>124</v>
      </c>
      <c r="B58" s="7" t="s">
        <v>125</v>
      </c>
      <c r="C58" s="7" t="s">
        <v>336</v>
      </c>
      <c r="D58" s="7" t="s">
        <v>281</v>
      </c>
      <c r="E58" s="19">
        <v>0.0</v>
      </c>
      <c r="F58" s="19">
        <v>0.0</v>
      </c>
      <c r="G58" s="19">
        <v>0.0</v>
      </c>
      <c r="H58" s="6">
        <f>E58*PV_SESSION+F58*PV_CHALLENGE+G58*PV_WIN</f>
        <v>0</v>
      </c>
    </row>
    <row r="59" ht="15.75" customHeight="1">
      <c r="A59" s="7" t="s">
        <v>126</v>
      </c>
      <c r="B59" s="7" t="s">
        <v>127</v>
      </c>
      <c r="C59" s="7" t="s">
        <v>337</v>
      </c>
      <c r="D59" s="7" t="s">
        <v>279</v>
      </c>
      <c r="E59" s="19">
        <v>0.0</v>
      </c>
      <c r="F59" s="19">
        <v>0.0</v>
      </c>
      <c r="G59" s="19">
        <v>0.0</v>
      </c>
      <c r="H59" s="6">
        <f>E59*PV_SESSION+F59*PV_CHALLENGE+G59*PV_WIN</f>
        <v>0</v>
      </c>
    </row>
    <row r="60" ht="15.75" customHeight="1">
      <c r="A60" s="7" t="s">
        <v>126</v>
      </c>
      <c r="B60" s="7" t="s">
        <v>127</v>
      </c>
      <c r="C60" s="7" t="s">
        <v>338</v>
      </c>
      <c r="D60" s="7" t="s">
        <v>281</v>
      </c>
      <c r="E60" s="19">
        <v>0.0</v>
      </c>
      <c r="F60" s="19">
        <v>0.0</v>
      </c>
      <c r="G60" s="19">
        <v>0.0</v>
      </c>
      <c r="H60" s="6">
        <f>E60*PV_SESSION+F60*PV_CHALLENGE+G60*PV_WIN</f>
        <v>0</v>
      </c>
    </row>
    <row r="61" ht="15.75" customHeight="1">
      <c r="A61" s="7" t="s">
        <v>128</v>
      </c>
      <c r="B61" s="7" t="s">
        <v>129</v>
      </c>
      <c r="C61" s="7" t="s">
        <v>339</v>
      </c>
      <c r="D61" s="7" t="s">
        <v>279</v>
      </c>
      <c r="E61" s="19">
        <v>0.0</v>
      </c>
      <c r="F61" s="19">
        <v>0.0</v>
      </c>
      <c r="G61" s="19">
        <v>0.0</v>
      </c>
      <c r="H61" s="6">
        <f>E61*PV_SESSION+F61*PV_CHALLENGE+G61*PV_WIN</f>
        <v>0</v>
      </c>
    </row>
    <row r="62" ht="15.75" customHeight="1">
      <c r="A62" s="7" t="s">
        <v>130</v>
      </c>
      <c r="B62" s="7" t="s">
        <v>131</v>
      </c>
      <c r="C62" s="7" t="s">
        <v>340</v>
      </c>
      <c r="D62" s="7" t="s">
        <v>279</v>
      </c>
      <c r="E62" s="19">
        <v>0.0</v>
      </c>
      <c r="F62" s="19">
        <v>0.0</v>
      </c>
      <c r="G62" s="19">
        <v>0.0</v>
      </c>
      <c r="H62" s="6">
        <f>E62*PV_SESSION+F62*PV_CHALLENGE+G62*PV_WIN</f>
        <v>0</v>
      </c>
    </row>
    <row r="63" ht="15.75" customHeight="1">
      <c r="A63" s="7" t="s">
        <v>132</v>
      </c>
      <c r="B63" s="7" t="s">
        <v>133</v>
      </c>
      <c r="C63" s="7" t="s">
        <v>341</v>
      </c>
      <c r="D63" s="7" t="s">
        <v>279</v>
      </c>
      <c r="E63" s="19">
        <v>0.0</v>
      </c>
      <c r="F63" s="19">
        <v>0.0</v>
      </c>
      <c r="G63" s="19">
        <v>0.0</v>
      </c>
      <c r="H63" s="6">
        <f>E63*PV_SESSION+F63*PV_CHALLENGE+G63*PV_WIN</f>
        <v>0</v>
      </c>
    </row>
    <row r="64" ht="15.75" customHeight="1">
      <c r="A64" s="7" t="s">
        <v>134</v>
      </c>
      <c r="B64" s="7" t="s">
        <v>135</v>
      </c>
      <c r="C64" s="7" t="s">
        <v>342</v>
      </c>
      <c r="D64" s="7" t="s">
        <v>279</v>
      </c>
      <c r="E64" s="19">
        <v>0.0</v>
      </c>
      <c r="F64" s="19">
        <v>0.0</v>
      </c>
      <c r="G64" s="19">
        <v>0.0</v>
      </c>
      <c r="H64" s="6">
        <f>E64*PV_SESSION+F64*PV_CHALLENGE+G64*PV_WIN</f>
        <v>0</v>
      </c>
    </row>
    <row r="65" ht="15.75" customHeight="1">
      <c r="A65" s="7" t="s">
        <v>136</v>
      </c>
      <c r="B65" s="7" t="s">
        <v>137</v>
      </c>
      <c r="C65" s="7" t="s">
        <v>343</v>
      </c>
      <c r="D65" s="7" t="s">
        <v>279</v>
      </c>
      <c r="E65" s="19">
        <v>0.0</v>
      </c>
      <c r="F65" s="19">
        <v>0.0</v>
      </c>
      <c r="G65" s="19">
        <v>0.0</v>
      </c>
      <c r="H65" s="6">
        <f>E65*PV_SESSION+F65*PV_CHALLENGE+G65*PV_WIN</f>
        <v>0</v>
      </c>
    </row>
    <row r="66" ht="15.75" customHeight="1">
      <c r="A66" s="7" t="s">
        <v>138</v>
      </c>
      <c r="B66" s="7" t="s">
        <v>139</v>
      </c>
      <c r="C66" s="7" t="s">
        <v>344</v>
      </c>
      <c r="D66" s="7" t="s">
        <v>279</v>
      </c>
      <c r="E66" s="18">
        <v>2.0</v>
      </c>
      <c r="F66" s="18">
        <v>1.0</v>
      </c>
      <c r="G66" s="18">
        <v>1.0</v>
      </c>
      <c r="H66" s="6">
        <f>E66*PV_SESSION+F66*PV_CHALLENGE+G66*PV_WIN</f>
        <v>60</v>
      </c>
    </row>
    <row r="67" ht="15.75" customHeight="1">
      <c r="A67" s="7" t="s">
        <v>138</v>
      </c>
      <c r="B67" s="7" t="s">
        <v>139</v>
      </c>
      <c r="C67" s="7" t="s">
        <v>345</v>
      </c>
      <c r="D67" s="7" t="s">
        <v>281</v>
      </c>
      <c r="E67" s="18">
        <v>2.0</v>
      </c>
      <c r="F67" s="18">
        <v>1.0</v>
      </c>
      <c r="G67" s="19">
        <v>0.0</v>
      </c>
      <c r="H67" s="6">
        <f>E67*PV_SESSION+F67*PV_CHALLENGE+G67*PV_WIN</f>
        <v>30</v>
      </c>
    </row>
    <row r="68" ht="15.75" customHeight="1">
      <c r="A68" s="7" t="s">
        <v>140</v>
      </c>
      <c r="B68" s="7" t="s">
        <v>141</v>
      </c>
      <c r="C68" s="7" t="s">
        <v>346</v>
      </c>
      <c r="D68" s="7" t="s">
        <v>279</v>
      </c>
      <c r="E68" s="19">
        <v>0.0</v>
      </c>
      <c r="F68" s="19">
        <v>0.0</v>
      </c>
      <c r="G68" s="19">
        <v>0.0</v>
      </c>
      <c r="H68" s="6">
        <f>E68*PV_SESSION+F68*PV_CHALLENGE+G68*PV_WIN</f>
        <v>0</v>
      </c>
    </row>
    <row r="69" ht="15.75" customHeight="1">
      <c r="A69" s="7" t="s">
        <v>140</v>
      </c>
      <c r="B69" s="7" t="s">
        <v>141</v>
      </c>
      <c r="C69" s="7" t="s">
        <v>347</v>
      </c>
      <c r="D69" s="7" t="s">
        <v>281</v>
      </c>
      <c r="E69" s="19">
        <v>0.0</v>
      </c>
      <c r="F69" s="19">
        <v>0.0</v>
      </c>
      <c r="G69" s="19">
        <v>0.0</v>
      </c>
      <c r="H69" s="6">
        <f>E69*PV_SESSION+F69*PV_CHALLENGE+G69*PV_WIN</f>
        <v>0</v>
      </c>
    </row>
    <row r="70" ht="15.75" customHeight="1">
      <c r="A70" s="7" t="s">
        <v>142</v>
      </c>
      <c r="B70" s="7" t="s">
        <v>143</v>
      </c>
      <c r="C70" s="7" t="s">
        <v>348</v>
      </c>
      <c r="D70" s="7" t="s">
        <v>279</v>
      </c>
      <c r="E70" s="19">
        <v>0.0</v>
      </c>
      <c r="F70" s="19">
        <v>0.0</v>
      </c>
      <c r="G70" s="19">
        <v>0.0</v>
      </c>
      <c r="H70" s="6">
        <f>E70*PV_SESSION+F70*PV_CHALLENGE+G70*PV_WIN</f>
        <v>0</v>
      </c>
    </row>
    <row r="71" ht="15.75" customHeight="1">
      <c r="A71" s="7" t="s">
        <v>144</v>
      </c>
      <c r="B71" s="7" t="s">
        <v>145</v>
      </c>
      <c r="C71" s="7" t="s">
        <v>349</v>
      </c>
      <c r="D71" s="7" t="s">
        <v>279</v>
      </c>
      <c r="E71" s="19">
        <v>0.0</v>
      </c>
      <c r="F71" s="19">
        <v>0.0</v>
      </c>
      <c r="G71" s="19">
        <v>0.0</v>
      </c>
      <c r="H71" s="6">
        <f>E71*PV_SESSION+F71*PV_CHALLENGE+G71*PV_WIN</f>
        <v>0</v>
      </c>
    </row>
    <row r="72" ht="15.75" customHeight="1">
      <c r="A72" s="7" t="s">
        <v>146</v>
      </c>
      <c r="B72" s="7" t="s">
        <v>147</v>
      </c>
      <c r="C72" s="7" t="s">
        <v>350</v>
      </c>
      <c r="D72" s="7" t="s">
        <v>279</v>
      </c>
      <c r="E72" s="19">
        <v>0.0</v>
      </c>
      <c r="F72" s="19">
        <v>0.0</v>
      </c>
      <c r="G72" s="19">
        <v>0.0</v>
      </c>
      <c r="H72" s="6">
        <f>E72*PV_SESSION+F72*PV_CHALLENGE+G72*PV_WIN</f>
        <v>0</v>
      </c>
    </row>
    <row r="73" ht="15.75" customHeight="1">
      <c r="A73" s="7" t="s">
        <v>146</v>
      </c>
      <c r="B73" s="7" t="s">
        <v>147</v>
      </c>
      <c r="C73" s="7" t="s">
        <v>351</v>
      </c>
      <c r="D73" s="7" t="s">
        <v>281</v>
      </c>
      <c r="E73" s="19">
        <v>0.0</v>
      </c>
      <c r="F73" s="19">
        <v>0.0</v>
      </c>
      <c r="G73" s="19">
        <v>0.0</v>
      </c>
      <c r="H73" s="6">
        <f>E73*PV_SESSION+F73*PV_CHALLENGE+G73*PV_WIN</f>
        <v>0</v>
      </c>
    </row>
    <row r="74" ht="15.75" customHeight="1">
      <c r="A74" s="7" t="s">
        <v>148</v>
      </c>
      <c r="B74" s="7" t="s">
        <v>149</v>
      </c>
      <c r="C74" s="7" t="s">
        <v>352</v>
      </c>
      <c r="D74" s="7" t="s">
        <v>279</v>
      </c>
      <c r="E74" s="19">
        <v>0.0</v>
      </c>
      <c r="F74" s="19">
        <v>0.0</v>
      </c>
      <c r="G74" s="19">
        <v>0.0</v>
      </c>
      <c r="H74" s="6">
        <f>E74*PV_SESSION+F74*PV_CHALLENGE+G74*PV_WIN</f>
        <v>0</v>
      </c>
    </row>
    <row r="75" ht="15.75" customHeight="1">
      <c r="A75" s="7" t="s">
        <v>148</v>
      </c>
      <c r="B75" s="7" t="s">
        <v>149</v>
      </c>
      <c r="C75" s="7" t="s">
        <v>353</v>
      </c>
      <c r="D75" s="7" t="s">
        <v>281</v>
      </c>
      <c r="E75" s="19">
        <v>0.0</v>
      </c>
      <c r="F75" s="19">
        <v>0.0</v>
      </c>
      <c r="G75" s="19">
        <v>0.0</v>
      </c>
      <c r="H75" s="6">
        <f>E75*PV_SESSION+F75*PV_CHALLENGE+G75*PV_WIN</f>
        <v>0</v>
      </c>
    </row>
    <row r="76" ht="15.75" customHeight="1">
      <c r="A76" s="7" t="s">
        <v>150</v>
      </c>
      <c r="B76" s="7" t="s">
        <v>151</v>
      </c>
      <c r="C76" s="7" t="s">
        <v>354</v>
      </c>
      <c r="D76" s="7" t="s">
        <v>279</v>
      </c>
      <c r="E76" s="19">
        <v>0.0</v>
      </c>
      <c r="F76" s="19">
        <v>0.0</v>
      </c>
      <c r="G76" s="19">
        <v>0.0</v>
      </c>
      <c r="H76" s="6">
        <f>E76*PV_SESSION+F76*PV_CHALLENGE+G76*PV_WIN</f>
        <v>0</v>
      </c>
    </row>
    <row r="77" ht="15.75" customHeight="1">
      <c r="A77" s="7" t="s">
        <v>150</v>
      </c>
      <c r="B77" s="7" t="s">
        <v>151</v>
      </c>
      <c r="C77" s="7" t="s">
        <v>355</v>
      </c>
      <c r="D77" s="7" t="s">
        <v>281</v>
      </c>
      <c r="E77" s="19">
        <v>0.0</v>
      </c>
      <c r="F77" s="19">
        <v>0.0</v>
      </c>
      <c r="G77" s="19">
        <v>0.0</v>
      </c>
      <c r="H77" s="6">
        <f>E77*PV_SESSION+F77*PV_CHALLENGE+G77*PV_WIN</f>
        <v>0</v>
      </c>
    </row>
    <row r="78" ht="15.75" customHeight="1">
      <c r="A78" s="7" t="s">
        <v>150</v>
      </c>
      <c r="B78" s="7" t="s">
        <v>151</v>
      </c>
      <c r="C78" s="7" t="s">
        <v>356</v>
      </c>
      <c r="D78" s="7" t="s">
        <v>281</v>
      </c>
      <c r="E78" s="19">
        <v>0.0</v>
      </c>
      <c r="F78" s="19">
        <v>0.0</v>
      </c>
      <c r="G78" s="19">
        <v>0.0</v>
      </c>
      <c r="H78" s="6">
        <f>E78*PV_SESSION+F78*PV_CHALLENGE+G78*PV_WIN</f>
        <v>0</v>
      </c>
    </row>
    <row r="79" ht="15.75" customHeight="1">
      <c r="A79" s="7" t="s">
        <v>152</v>
      </c>
      <c r="B79" s="7" t="s">
        <v>153</v>
      </c>
      <c r="C79" s="7" t="s">
        <v>357</v>
      </c>
      <c r="D79" s="7" t="s">
        <v>279</v>
      </c>
      <c r="E79" s="19">
        <v>0.0</v>
      </c>
      <c r="F79" s="19">
        <v>0.0</v>
      </c>
      <c r="G79" s="19">
        <v>0.0</v>
      </c>
      <c r="H79" s="6">
        <f>E79*PV_SESSION+F79*PV_CHALLENGE+G79*PV_WIN</f>
        <v>0</v>
      </c>
    </row>
    <row r="80" ht="15.75" customHeight="1">
      <c r="A80" s="7" t="s">
        <v>154</v>
      </c>
      <c r="B80" s="7" t="s">
        <v>155</v>
      </c>
      <c r="C80" s="7" t="s">
        <v>358</v>
      </c>
      <c r="D80" s="7" t="s">
        <v>279</v>
      </c>
      <c r="E80" s="19">
        <v>0.0</v>
      </c>
      <c r="F80" s="19">
        <v>0.0</v>
      </c>
      <c r="G80" s="19">
        <v>0.0</v>
      </c>
      <c r="H80" s="6">
        <f>E80*PV_SESSION+F80*PV_CHALLENGE+G80*PV_WIN</f>
        <v>0</v>
      </c>
    </row>
    <row r="81" ht="15.75" customHeight="1">
      <c r="A81" s="7" t="s">
        <v>154</v>
      </c>
      <c r="B81" s="7" t="s">
        <v>155</v>
      </c>
      <c r="C81" s="7" t="s">
        <v>359</v>
      </c>
      <c r="D81" s="7" t="s">
        <v>281</v>
      </c>
      <c r="E81" s="19">
        <v>0.0</v>
      </c>
      <c r="F81" s="19">
        <v>0.0</v>
      </c>
      <c r="G81" s="19">
        <v>0.0</v>
      </c>
      <c r="H81" s="6">
        <f>E81*PV_SESSION+F81*PV_CHALLENGE+G81*PV_WIN</f>
        <v>0</v>
      </c>
    </row>
    <row r="82" ht="15.75" customHeight="1">
      <c r="A82" s="7" t="s">
        <v>154</v>
      </c>
      <c r="B82" s="7" t="s">
        <v>155</v>
      </c>
      <c r="C82" s="7" t="s">
        <v>360</v>
      </c>
      <c r="D82" s="7" t="s">
        <v>281</v>
      </c>
      <c r="E82" s="19">
        <v>0.0</v>
      </c>
      <c r="F82" s="19">
        <v>0.0</v>
      </c>
      <c r="G82" s="19">
        <v>0.0</v>
      </c>
      <c r="H82" s="6">
        <f>E82*PV_SESSION+F82*PV_CHALLENGE+G82*PV_WIN</f>
        <v>0</v>
      </c>
    </row>
    <row r="83" ht="15.75" customHeight="1">
      <c r="A83" s="7" t="s">
        <v>156</v>
      </c>
      <c r="B83" s="7" t="s">
        <v>157</v>
      </c>
      <c r="C83" s="7" t="s">
        <v>361</v>
      </c>
      <c r="D83" s="7" t="s">
        <v>279</v>
      </c>
      <c r="E83" s="19">
        <v>0.0</v>
      </c>
      <c r="F83" s="19">
        <v>0.0</v>
      </c>
      <c r="G83" s="19">
        <v>0.0</v>
      </c>
      <c r="H83" s="6">
        <f>E83*PV_SESSION+F83*PV_CHALLENGE+G83*PV_WIN</f>
        <v>0</v>
      </c>
    </row>
    <row r="84" ht="15.75" customHeight="1">
      <c r="A84" s="7" t="s">
        <v>156</v>
      </c>
      <c r="B84" s="7" t="s">
        <v>157</v>
      </c>
      <c r="C84" s="7" t="s">
        <v>362</v>
      </c>
      <c r="D84" s="7" t="s">
        <v>281</v>
      </c>
      <c r="E84" s="19">
        <v>0.0</v>
      </c>
      <c r="F84" s="19">
        <v>0.0</v>
      </c>
      <c r="G84" s="19">
        <v>0.0</v>
      </c>
      <c r="H84" s="6">
        <f>E84*PV_SESSION+F84*PV_CHALLENGE+G84*PV_WIN</f>
        <v>0</v>
      </c>
    </row>
    <row r="85" ht="15.75" customHeight="1">
      <c r="A85" s="7" t="s">
        <v>158</v>
      </c>
      <c r="B85" s="7" t="s">
        <v>159</v>
      </c>
      <c r="C85" s="7" t="s">
        <v>363</v>
      </c>
      <c r="D85" s="7" t="s">
        <v>279</v>
      </c>
      <c r="E85" s="19">
        <v>0.0</v>
      </c>
      <c r="F85" s="19">
        <v>0.0</v>
      </c>
      <c r="G85" s="19">
        <v>0.0</v>
      </c>
      <c r="H85" s="6">
        <f>E85*PV_SESSION+F85*PV_CHALLENGE+G85*PV_WIN</f>
        <v>0</v>
      </c>
    </row>
    <row r="86" ht="15.75" customHeight="1">
      <c r="A86" s="7" t="s">
        <v>158</v>
      </c>
      <c r="B86" s="7" t="s">
        <v>159</v>
      </c>
      <c r="C86" s="7" t="s">
        <v>364</v>
      </c>
      <c r="D86" s="7" t="s">
        <v>281</v>
      </c>
      <c r="E86" s="19">
        <v>0.0</v>
      </c>
      <c r="F86" s="19">
        <v>0.0</v>
      </c>
      <c r="G86" s="19">
        <v>0.0</v>
      </c>
      <c r="H86" s="6">
        <f>E86*PV_SESSION+F86*PV_CHALLENGE+G86*PV_WIN</f>
        <v>0</v>
      </c>
    </row>
    <row r="87" ht="15.75" customHeight="1">
      <c r="A87" s="7" t="s">
        <v>160</v>
      </c>
      <c r="B87" s="7" t="s">
        <v>161</v>
      </c>
      <c r="C87" s="7" t="s">
        <v>365</v>
      </c>
      <c r="D87" s="7" t="s">
        <v>279</v>
      </c>
      <c r="E87" s="19">
        <v>0.0</v>
      </c>
      <c r="F87" s="19">
        <v>0.0</v>
      </c>
      <c r="G87" s="19">
        <v>0.0</v>
      </c>
      <c r="H87" s="6">
        <f>E87*PV_SESSION+F87*PV_CHALLENGE+G87*PV_WIN</f>
        <v>0</v>
      </c>
    </row>
    <row r="88" ht="15.75" customHeight="1">
      <c r="A88" s="7" t="s">
        <v>160</v>
      </c>
      <c r="B88" s="7" t="s">
        <v>161</v>
      </c>
      <c r="C88" s="7" t="s">
        <v>366</v>
      </c>
      <c r="D88" s="7" t="s">
        <v>281</v>
      </c>
      <c r="E88" s="19">
        <v>0.0</v>
      </c>
      <c r="F88" s="19">
        <v>0.0</v>
      </c>
      <c r="G88" s="19">
        <v>0.0</v>
      </c>
      <c r="H88" s="6">
        <f>E88*PV_SESSION+F88*PV_CHALLENGE+G88*PV_WIN</f>
        <v>0</v>
      </c>
    </row>
    <row r="89" ht="15.75" customHeight="1">
      <c r="A89" s="7" t="s">
        <v>162</v>
      </c>
      <c r="B89" s="7" t="s">
        <v>163</v>
      </c>
      <c r="C89" s="7" t="s">
        <v>367</v>
      </c>
      <c r="D89" s="7" t="s">
        <v>279</v>
      </c>
      <c r="E89" s="19">
        <v>0.0</v>
      </c>
      <c r="F89" s="19">
        <v>0.0</v>
      </c>
      <c r="G89" s="19">
        <v>0.0</v>
      </c>
      <c r="H89" s="6">
        <f>E89*PV_SESSION+F89*PV_CHALLENGE+G89*PV_WIN</f>
        <v>0</v>
      </c>
    </row>
    <row r="90" ht="15.75" customHeight="1">
      <c r="A90" s="7" t="s">
        <v>164</v>
      </c>
      <c r="B90" s="7" t="s">
        <v>165</v>
      </c>
      <c r="C90" s="7" t="s">
        <v>368</v>
      </c>
      <c r="D90" s="7" t="s">
        <v>279</v>
      </c>
      <c r="E90" s="18">
        <v>2.0</v>
      </c>
      <c r="F90" s="18">
        <v>1.0</v>
      </c>
      <c r="G90" s="19">
        <v>0.0</v>
      </c>
      <c r="H90" s="6">
        <f>E90*PV_SESSION+F90*PV_CHALLENGE+G90*PV_WIN</f>
        <v>30</v>
      </c>
    </row>
    <row r="91" ht="15.75" customHeight="1">
      <c r="A91" s="7" t="s">
        <v>164</v>
      </c>
      <c r="B91" s="7" t="s">
        <v>165</v>
      </c>
      <c r="C91" s="7" t="s">
        <v>369</v>
      </c>
      <c r="D91" s="7" t="s">
        <v>281</v>
      </c>
      <c r="E91" s="18">
        <v>2.0</v>
      </c>
      <c r="F91" s="18">
        <v>1.0</v>
      </c>
      <c r="G91" s="19">
        <v>0.0</v>
      </c>
      <c r="H91" s="6">
        <f>E91*PV_SESSION+F91*PV_CHALLENGE+G91*PV_WIN</f>
        <v>30</v>
      </c>
    </row>
    <row r="92" ht="15.75" customHeight="1">
      <c r="A92" s="7" t="s">
        <v>164</v>
      </c>
      <c r="B92" s="7" t="s">
        <v>165</v>
      </c>
      <c r="C92" s="7" t="s">
        <v>370</v>
      </c>
      <c r="D92" s="7" t="s">
        <v>281</v>
      </c>
      <c r="E92" s="19">
        <v>0.0</v>
      </c>
      <c r="F92" s="18">
        <v>1.0</v>
      </c>
      <c r="G92" s="19">
        <v>0.0</v>
      </c>
      <c r="H92" s="6">
        <f>E92*PV_SESSION+F92*PV_CHALLENGE+G92*PV_WIN</f>
        <v>20</v>
      </c>
    </row>
    <row r="93" ht="15.75" customHeight="1">
      <c r="A93" s="7" t="s">
        <v>167</v>
      </c>
      <c r="B93" s="7" t="s">
        <v>168</v>
      </c>
      <c r="C93" s="7" t="s">
        <v>289</v>
      </c>
      <c r="D93" s="7" t="s">
        <v>279</v>
      </c>
      <c r="E93" s="19">
        <v>0.0</v>
      </c>
      <c r="F93" s="19">
        <v>0.0</v>
      </c>
      <c r="G93" s="19">
        <v>0.0</v>
      </c>
      <c r="H93" s="6">
        <f>E93*PV_SESSION+F93*PV_CHALLENGE+G93*PV_WIN</f>
        <v>0</v>
      </c>
    </row>
    <row r="94" ht="15.75" customHeight="1">
      <c r="A94" s="7" t="s">
        <v>167</v>
      </c>
      <c r="B94" s="7" t="s">
        <v>168</v>
      </c>
      <c r="C94" s="7" t="s">
        <v>371</v>
      </c>
      <c r="D94" s="7" t="s">
        <v>281</v>
      </c>
      <c r="E94" s="19">
        <v>0.0</v>
      </c>
      <c r="F94" s="19">
        <v>0.0</v>
      </c>
      <c r="G94" s="19">
        <v>0.0</v>
      </c>
      <c r="H94" s="6">
        <f>E94*PV_SESSION+F94*PV_CHALLENGE+G94*PV_WIN</f>
        <v>0</v>
      </c>
    </row>
    <row r="95" ht="15.75" customHeight="1">
      <c r="A95" s="7" t="s">
        <v>169</v>
      </c>
      <c r="B95" s="7" t="s">
        <v>170</v>
      </c>
      <c r="C95" s="7" t="s">
        <v>372</v>
      </c>
      <c r="D95" s="7" t="s">
        <v>279</v>
      </c>
      <c r="E95" s="19">
        <v>0.0</v>
      </c>
      <c r="F95" s="19">
        <v>0.0</v>
      </c>
      <c r="G95" s="19">
        <v>0.0</v>
      </c>
      <c r="H95" s="6">
        <f>E95*PV_SESSION+F95*PV_CHALLENGE+G95*PV_WIN</f>
        <v>0</v>
      </c>
    </row>
    <row r="96" ht="15.75" customHeight="1">
      <c r="A96" s="7" t="s">
        <v>169</v>
      </c>
      <c r="B96" s="7" t="s">
        <v>170</v>
      </c>
      <c r="C96" s="7" t="s">
        <v>373</v>
      </c>
      <c r="D96" s="7" t="s">
        <v>281</v>
      </c>
      <c r="E96" s="19">
        <v>0.0</v>
      </c>
      <c r="F96" s="19">
        <v>0.0</v>
      </c>
      <c r="G96" s="19">
        <v>0.0</v>
      </c>
      <c r="H96" s="6">
        <f>E96*PV_SESSION+F96*PV_CHALLENGE+G96*PV_WIN</f>
        <v>0</v>
      </c>
    </row>
    <row r="97" ht="15.75" customHeight="1">
      <c r="A97" s="7" t="s">
        <v>171</v>
      </c>
      <c r="B97" s="7" t="s">
        <v>172</v>
      </c>
      <c r="C97" s="7" t="s">
        <v>374</v>
      </c>
      <c r="D97" s="7" t="s">
        <v>279</v>
      </c>
      <c r="E97" s="19">
        <v>0.0</v>
      </c>
      <c r="F97" s="19">
        <v>0.0</v>
      </c>
      <c r="G97" s="19">
        <v>0.0</v>
      </c>
      <c r="H97" s="6">
        <f>E97*PV_SESSION+F97*PV_CHALLENGE+G97*PV_WIN</f>
        <v>0</v>
      </c>
    </row>
    <row r="98" ht="15.75" customHeight="1">
      <c r="A98" s="7" t="s">
        <v>173</v>
      </c>
      <c r="B98" s="7" t="s">
        <v>174</v>
      </c>
      <c r="C98" s="7" t="s">
        <v>375</v>
      </c>
      <c r="D98" s="7" t="s">
        <v>279</v>
      </c>
      <c r="E98" s="18">
        <v>2.0</v>
      </c>
      <c r="F98" s="18">
        <v>1.0</v>
      </c>
      <c r="G98" s="18">
        <v>1.0</v>
      </c>
      <c r="H98" s="6">
        <f>E98*PV_SESSION+F98*PV_CHALLENGE+G98*PV_WIN</f>
        <v>60</v>
      </c>
    </row>
    <row r="99" ht="15.75" customHeight="1">
      <c r="A99" s="7" t="s">
        <v>173</v>
      </c>
      <c r="B99" s="7" t="s">
        <v>174</v>
      </c>
      <c r="C99" s="7" t="s">
        <v>376</v>
      </c>
      <c r="D99" s="7" t="s">
        <v>281</v>
      </c>
      <c r="E99" s="18">
        <v>2.0</v>
      </c>
      <c r="F99" s="18">
        <v>1.0</v>
      </c>
      <c r="G99" s="18">
        <v>1.0</v>
      </c>
      <c r="H99" s="6">
        <f>E99*PV_SESSION+F99*PV_CHALLENGE+G99*PV_WIN</f>
        <v>60</v>
      </c>
    </row>
    <row r="100" ht="15.75" customHeight="1">
      <c r="A100" s="7" t="s">
        <v>173</v>
      </c>
      <c r="B100" s="7" t="s">
        <v>174</v>
      </c>
      <c r="C100" s="7" t="s">
        <v>377</v>
      </c>
      <c r="D100" s="7" t="s">
        <v>281</v>
      </c>
      <c r="E100" s="18">
        <v>2.0</v>
      </c>
      <c r="F100" s="18">
        <v>1.0</v>
      </c>
      <c r="G100" s="18">
        <v>0.0</v>
      </c>
      <c r="H100" s="6">
        <f>E100*PV_SESSION+F100*PV_CHALLENGE+G100*PV_WIN</f>
        <v>30</v>
      </c>
    </row>
    <row r="101" ht="15.75" customHeight="1">
      <c r="A101" s="7" t="s">
        <v>175</v>
      </c>
      <c r="B101" s="7" t="s">
        <v>176</v>
      </c>
      <c r="C101" s="7" t="s">
        <v>378</v>
      </c>
      <c r="D101" s="7" t="s">
        <v>279</v>
      </c>
      <c r="E101" s="19">
        <v>0.0</v>
      </c>
      <c r="F101" s="19">
        <v>0.0</v>
      </c>
      <c r="G101" s="19">
        <v>0.0</v>
      </c>
      <c r="H101" s="6">
        <f>E101*PV_SESSION+F101*PV_CHALLENGE+G101*PV_WIN</f>
        <v>0</v>
      </c>
    </row>
    <row r="102" ht="15.75" customHeight="1">
      <c r="A102" s="7" t="s">
        <v>175</v>
      </c>
      <c r="B102" s="7" t="s">
        <v>176</v>
      </c>
      <c r="C102" s="7" t="s">
        <v>379</v>
      </c>
      <c r="D102" s="7" t="s">
        <v>281</v>
      </c>
      <c r="E102" s="19">
        <v>0.0</v>
      </c>
      <c r="F102" s="19">
        <v>0.0</v>
      </c>
      <c r="G102" s="19">
        <v>0.0</v>
      </c>
      <c r="H102" s="6">
        <f>E102*PV_SESSION+F102*PV_CHALLENGE+G102*PV_WIN</f>
        <v>0</v>
      </c>
    </row>
    <row r="103" ht="15.75" customHeight="1">
      <c r="A103" s="7" t="s">
        <v>175</v>
      </c>
      <c r="B103" s="7" t="s">
        <v>176</v>
      </c>
      <c r="C103" s="7" t="s">
        <v>380</v>
      </c>
      <c r="D103" s="7" t="s">
        <v>281</v>
      </c>
      <c r="E103" s="19">
        <v>0.0</v>
      </c>
      <c r="F103" s="19">
        <v>0.0</v>
      </c>
      <c r="G103" s="19">
        <v>0.0</v>
      </c>
      <c r="H103" s="6">
        <f>E103*PV_SESSION+F103*PV_CHALLENGE+G103*PV_WIN</f>
        <v>0</v>
      </c>
    </row>
    <row r="104" ht="15.75" customHeight="1">
      <c r="A104" s="7" t="s">
        <v>177</v>
      </c>
      <c r="B104" s="7" t="s">
        <v>178</v>
      </c>
      <c r="C104" s="7" t="s">
        <v>381</v>
      </c>
      <c r="D104" s="7" t="s">
        <v>279</v>
      </c>
      <c r="E104" s="19">
        <v>0.0</v>
      </c>
      <c r="F104" s="19">
        <v>0.0</v>
      </c>
      <c r="G104" s="19">
        <v>0.0</v>
      </c>
      <c r="H104" s="6">
        <f>E104*PV_SESSION+F104*PV_CHALLENGE+G104*PV_WIN</f>
        <v>0</v>
      </c>
    </row>
    <row r="105" ht="15.75" customHeight="1">
      <c r="A105" s="7" t="s">
        <v>177</v>
      </c>
      <c r="B105" s="7" t="s">
        <v>178</v>
      </c>
      <c r="C105" s="7" t="s">
        <v>382</v>
      </c>
      <c r="D105" s="7" t="s">
        <v>281</v>
      </c>
      <c r="E105" s="19">
        <v>0.0</v>
      </c>
      <c r="F105" s="19">
        <v>0.0</v>
      </c>
      <c r="G105" s="19">
        <v>0.0</v>
      </c>
      <c r="H105" s="6">
        <f>E105*PV_SESSION+F105*PV_CHALLENGE+G105*PV_WIN</f>
        <v>0</v>
      </c>
    </row>
    <row r="106" ht="15.75" customHeight="1">
      <c r="A106" s="7" t="s">
        <v>179</v>
      </c>
      <c r="B106" s="7" t="s">
        <v>180</v>
      </c>
      <c r="C106" s="7" t="s">
        <v>383</v>
      </c>
      <c r="D106" s="7" t="s">
        <v>279</v>
      </c>
      <c r="E106" s="19">
        <v>0.0</v>
      </c>
      <c r="F106" s="19">
        <v>0.0</v>
      </c>
      <c r="G106" s="19">
        <v>0.0</v>
      </c>
      <c r="H106" s="6">
        <f>E106*PV_SESSION+F106*PV_CHALLENGE+G106*PV_WIN</f>
        <v>0</v>
      </c>
    </row>
    <row r="107" ht="15.75" customHeight="1">
      <c r="A107" s="7" t="s">
        <v>179</v>
      </c>
      <c r="B107" s="7" t="s">
        <v>180</v>
      </c>
      <c r="C107" s="7" t="s">
        <v>384</v>
      </c>
      <c r="D107" s="7" t="s">
        <v>281</v>
      </c>
      <c r="E107" s="19">
        <v>0.0</v>
      </c>
      <c r="F107" s="19">
        <v>0.0</v>
      </c>
      <c r="G107" s="19">
        <v>0.0</v>
      </c>
      <c r="H107" s="6">
        <f>E107*PV_SESSION+F107*PV_CHALLENGE+G107*PV_WIN</f>
        <v>0</v>
      </c>
    </row>
    <row r="108" ht="15.75" customHeight="1">
      <c r="A108" s="7" t="s">
        <v>179</v>
      </c>
      <c r="B108" s="7" t="s">
        <v>180</v>
      </c>
      <c r="C108" s="7" t="s">
        <v>385</v>
      </c>
      <c r="D108" s="7" t="s">
        <v>281</v>
      </c>
      <c r="E108" s="19">
        <v>0.0</v>
      </c>
      <c r="F108" s="19">
        <v>0.0</v>
      </c>
      <c r="G108" s="19">
        <v>0.0</v>
      </c>
      <c r="H108" s="6">
        <f>E108*PV_SESSION+F108*PV_CHALLENGE+G108*PV_WIN</f>
        <v>0</v>
      </c>
    </row>
    <row r="109" ht="15.75" customHeight="1">
      <c r="A109" s="7" t="s">
        <v>179</v>
      </c>
      <c r="B109" s="7" t="s">
        <v>180</v>
      </c>
      <c r="C109" s="7" t="s">
        <v>386</v>
      </c>
      <c r="D109" s="7" t="s">
        <v>281</v>
      </c>
      <c r="E109" s="19">
        <v>0.0</v>
      </c>
      <c r="F109" s="19">
        <v>0.0</v>
      </c>
      <c r="G109" s="19">
        <v>0.0</v>
      </c>
      <c r="H109" s="6">
        <f>E109*PV_SESSION+F109*PV_CHALLENGE+G109*PV_WIN</f>
        <v>0</v>
      </c>
    </row>
    <row r="110" ht="15.75" customHeight="1">
      <c r="A110" s="7" t="s">
        <v>181</v>
      </c>
      <c r="B110" s="7" t="s">
        <v>182</v>
      </c>
      <c r="C110" s="7" t="s">
        <v>387</v>
      </c>
      <c r="D110" s="7" t="s">
        <v>279</v>
      </c>
      <c r="E110" s="19">
        <v>0.0</v>
      </c>
      <c r="F110" s="19">
        <v>0.0</v>
      </c>
      <c r="G110" s="19">
        <v>0.0</v>
      </c>
      <c r="H110" s="6">
        <f>E110*PV_SESSION+F110*PV_CHALLENGE+G110*PV_WIN</f>
        <v>0</v>
      </c>
    </row>
    <row r="111" ht="15.75" customHeight="1">
      <c r="A111" s="7" t="s">
        <v>181</v>
      </c>
      <c r="B111" s="7" t="s">
        <v>182</v>
      </c>
      <c r="C111" s="7" t="s">
        <v>388</v>
      </c>
      <c r="D111" s="7" t="s">
        <v>281</v>
      </c>
      <c r="E111" s="19">
        <v>0.0</v>
      </c>
      <c r="F111" s="19">
        <v>0.0</v>
      </c>
      <c r="G111" s="19">
        <v>0.0</v>
      </c>
      <c r="H111" s="6">
        <f>E111*PV_SESSION+F111*PV_CHALLENGE+G111*PV_WIN</f>
        <v>0</v>
      </c>
    </row>
    <row r="112" ht="15.75" customHeight="1">
      <c r="A112" s="7" t="s">
        <v>183</v>
      </c>
      <c r="B112" s="7" t="s">
        <v>184</v>
      </c>
      <c r="C112" s="7" t="s">
        <v>389</v>
      </c>
      <c r="D112" s="7" t="s">
        <v>279</v>
      </c>
      <c r="E112" s="19">
        <v>0.0</v>
      </c>
      <c r="F112" s="19">
        <v>0.0</v>
      </c>
      <c r="G112" s="19">
        <v>0.0</v>
      </c>
      <c r="H112" s="6">
        <f>E112*PV_SESSION+F112*PV_CHALLENGE+G112*PV_WIN</f>
        <v>0</v>
      </c>
    </row>
    <row r="113" ht="15.75" customHeight="1">
      <c r="A113" s="7" t="s">
        <v>183</v>
      </c>
      <c r="B113" s="7" t="s">
        <v>184</v>
      </c>
      <c r="C113" s="7" t="s">
        <v>390</v>
      </c>
      <c r="D113" s="7" t="s">
        <v>281</v>
      </c>
      <c r="E113" s="19">
        <v>0.0</v>
      </c>
      <c r="F113" s="19">
        <v>0.0</v>
      </c>
      <c r="G113" s="19">
        <v>0.0</v>
      </c>
      <c r="H113" s="6">
        <f>E113*PV_SESSION+F113*PV_CHALLENGE+G113*PV_WIN</f>
        <v>0</v>
      </c>
    </row>
    <row r="114" ht="15.75" customHeight="1">
      <c r="A114" s="7" t="s">
        <v>185</v>
      </c>
      <c r="B114" s="7" t="s">
        <v>186</v>
      </c>
      <c r="C114" s="7" t="s">
        <v>391</v>
      </c>
      <c r="D114" s="7" t="s">
        <v>279</v>
      </c>
      <c r="E114" s="18">
        <v>2.0</v>
      </c>
      <c r="F114" s="18">
        <v>1.0</v>
      </c>
      <c r="G114" s="19">
        <v>0.0</v>
      </c>
      <c r="H114" s="6">
        <f>E114*PV_SESSION+F114*PV_CHALLENGE+G114*PV_WIN</f>
        <v>30</v>
      </c>
    </row>
    <row r="115" ht="15.75" customHeight="1">
      <c r="A115" s="7" t="s">
        <v>185</v>
      </c>
      <c r="B115" s="7" t="s">
        <v>186</v>
      </c>
      <c r="C115" s="7" t="s">
        <v>392</v>
      </c>
      <c r="D115" s="7" t="s">
        <v>281</v>
      </c>
      <c r="E115" s="18">
        <v>2.0</v>
      </c>
      <c r="F115" s="18">
        <v>1.0</v>
      </c>
      <c r="G115" s="19">
        <v>0.0</v>
      </c>
      <c r="H115" s="6">
        <f>E115*PV_SESSION+F115*PV_CHALLENGE+G115*PV_WIN</f>
        <v>30</v>
      </c>
    </row>
    <row r="116" ht="15.75" customHeight="1">
      <c r="A116" s="7" t="s">
        <v>185</v>
      </c>
      <c r="B116" s="7" t="s">
        <v>186</v>
      </c>
      <c r="C116" s="7" t="s">
        <v>393</v>
      </c>
      <c r="D116" s="7" t="s">
        <v>281</v>
      </c>
      <c r="E116" s="18">
        <v>2.0</v>
      </c>
      <c r="F116" s="18">
        <v>1.0</v>
      </c>
      <c r="G116" s="19">
        <v>0.0</v>
      </c>
      <c r="H116" s="6">
        <f>E116*PV_SESSION+F116*PV_CHALLENGE+G116*PV_WIN</f>
        <v>30</v>
      </c>
    </row>
    <row r="117" ht="15.75" customHeight="1">
      <c r="A117" s="7" t="s">
        <v>187</v>
      </c>
      <c r="B117" s="7" t="s">
        <v>188</v>
      </c>
      <c r="C117" s="7" t="s">
        <v>394</v>
      </c>
      <c r="D117" s="7" t="s">
        <v>279</v>
      </c>
      <c r="E117" s="19">
        <v>0.0</v>
      </c>
      <c r="F117" s="19">
        <v>0.0</v>
      </c>
      <c r="G117" s="19">
        <v>0.0</v>
      </c>
      <c r="H117" s="6">
        <f>E117*PV_SESSION+F117*PV_CHALLENGE+G117*PV_WIN</f>
        <v>0</v>
      </c>
    </row>
    <row r="118" ht="15.75" customHeight="1">
      <c r="A118" s="7" t="s">
        <v>187</v>
      </c>
      <c r="B118" s="7" t="s">
        <v>188</v>
      </c>
      <c r="C118" s="7" t="s">
        <v>395</v>
      </c>
      <c r="D118" s="7" t="s">
        <v>281</v>
      </c>
      <c r="E118" s="19">
        <v>0.0</v>
      </c>
      <c r="F118" s="19">
        <v>0.0</v>
      </c>
      <c r="G118" s="19">
        <v>0.0</v>
      </c>
      <c r="H118" s="6">
        <f>E118*PV_SESSION+F118*PV_CHALLENGE+G118*PV_WIN</f>
        <v>0</v>
      </c>
    </row>
    <row r="119" ht="15.75" customHeight="1">
      <c r="A119" s="7" t="s">
        <v>187</v>
      </c>
      <c r="B119" s="7" t="s">
        <v>188</v>
      </c>
      <c r="C119" s="7" t="s">
        <v>396</v>
      </c>
      <c r="D119" s="7" t="s">
        <v>281</v>
      </c>
      <c r="E119" s="19">
        <v>0.0</v>
      </c>
      <c r="F119" s="19">
        <v>0.0</v>
      </c>
      <c r="G119" s="19">
        <v>0.0</v>
      </c>
      <c r="H119" s="6">
        <f>E119*PV_SESSION+F119*PV_CHALLENGE+G119*PV_WIN</f>
        <v>0</v>
      </c>
    </row>
    <row r="120" ht="15.75" customHeight="1">
      <c r="A120" s="7" t="s">
        <v>189</v>
      </c>
      <c r="B120" s="7" t="s">
        <v>190</v>
      </c>
      <c r="C120" s="7" t="s">
        <v>397</v>
      </c>
      <c r="D120" s="7" t="s">
        <v>279</v>
      </c>
      <c r="E120" s="19">
        <v>0.0</v>
      </c>
      <c r="F120" s="19">
        <v>0.0</v>
      </c>
      <c r="G120" s="19">
        <v>0.0</v>
      </c>
      <c r="H120" s="6">
        <f>E120*PV_SESSION+F120*PV_CHALLENGE+G120*PV_WIN</f>
        <v>0</v>
      </c>
    </row>
    <row r="121" ht="15.75" customHeight="1">
      <c r="A121" s="7" t="s">
        <v>191</v>
      </c>
      <c r="B121" s="7" t="s">
        <v>192</v>
      </c>
      <c r="C121" s="7" t="s">
        <v>398</v>
      </c>
      <c r="D121" s="7" t="s">
        <v>279</v>
      </c>
      <c r="E121" s="19">
        <v>0.0</v>
      </c>
      <c r="F121" s="19">
        <v>0.0</v>
      </c>
      <c r="G121" s="19">
        <v>0.0</v>
      </c>
      <c r="H121" s="6">
        <f>E121*PV_SESSION+F121*PV_CHALLENGE+G121*PV_WIN</f>
        <v>0</v>
      </c>
    </row>
    <row r="122" ht="15.75" customHeight="1">
      <c r="A122" s="7" t="s">
        <v>193</v>
      </c>
      <c r="B122" s="7" t="s">
        <v>194</v>
      </c>
      <c r="C122" s="7" t="s">
        <v>399</v>
      </c>
      <c r="D122" s="7" t="s">
        <v>279</v>
      </c>
      <c r="E122" s="19">
        <v>0.0</v>
      </c>
      <c r="F122" s="19">
        <v>0.0</v>
      </c>
      <c r="G122" s="19">
        <v>0.0</v>
      </c>
      <c r="H122" s="6">
        <f>E122*PV_SESSION+F122*PV_CHALLENGE+G122*PV_WIN</f>
        <v>0</v>
      </c>
    </row>
    <row r="123" ht="15.75" customHeight="1">
      <c r="A123" s="7" t="s">
        <v>195</v>
      </c>
      <c r="B123" s="7" t="s">
        <v>196</v>
      </c>
      <c r="C123" s="7" t="s">
        <v>400</v>
      </c>
      <c r="D123" s="7" t="s">
        <v>279</v>
      </c>
      <c r="E123" s="19">
        <v>0.0</v>
      </c>
      <c r="F123" s="19">
        <v>0.0</v>
      </c>
      <c r="G123" s="19">
        <v>0.0</v>
      </c>
      <c r="H123" s="6">
        <f>E123*PV_SESSION+F123*PV_CHALLENGE+G123*PV_WIN</f>
        <v>0</v>
      </c>
    </row>
    <row r="124" ht="15.75" customHeight="1">
      <c r="A124" s="7" t="s">
        <v>197</v>
      </c>
      <c r="B124" s="7" t="s">
        <v>198</v>
      </c>
      <c r="C124" s="7" t="s">
        <v>401</v>
      </c>
      <c r="D124" s="7" t="s">
        <v>279</v>
      </c>
      <c r="E124" s="19">
        <v>0.0</v>
      </c>
      <c r="F124" s="19">
        <v>0.0</v>
      </c>
      <c r="G124" s="19">
        <v>0.0</v>
      </c>
      <c r="H124" s="6">
        <f>E124*PV_SESSION+F124*PV_CHALLENGE+G124*PV_WIN</f>
        <v>0</v>
      </c>
    </row>
    <row r="125" ht="15.75" customHeight="1">
      <c r="A125" s="7" t="s">
        <v>197</v>
      </c>
      <c r="B125" s="7" t="s">
        <v>198</v>
      </c>
      <c r="C125" s="7" t="s">
        <v>402</v>
      </c>
      <c r="D125" s="7" t="s">
        <v>281</v>
      </c>
      <c r="E125" s="19">
        <v>0.0</v>
      </c>
      <c r="F125" s="19">
        <v>0.0</v>
      </c>
      <c r="G125" s="19">
        <v>0.0</v>
      </c>
      <c r="H125" s="6">
        <f>E125*PV_SESSION+F125*PV_CHALLENGE+G125*PV_WIN</f>
        <v>0</v>
      </c>
    </row>
    <row r="126" ht="15.75" customHeight="1">
      <c r="A126" s="7" t="s">
        <v>199</v>
      </c>
      <c r="B126" s="7" t="s">
        <v>200</v>
      </c>
      <c r="C126" s="7" t="s">
        <v>403</v>
      </c>
      <c r="D126" s="7" t="s">
        <v>279</v>
      </c>
      <c r="E126" s="19">
        <v>0.0</v>
      </c>
      <c r="F126" s="19">
        <v>0.0</v>
      </c>
      <c r="G126" s="19">
        <v>0.0</v>
      </c>
      <c r="H126" s="6">
        <f>E126*PV_SESSION+F126*PV_CHALLENGE+G126*PV_WIN</f>
        <v>0</v>
      </c>
    </row>
    <row r="127" ht="15.75" customHeight="1">
      <c r="A127" s="7" t="s">
        <v>201</v>
      </c>
      <c r="B127" s="7" t="s">
        <v>202</v>
      </c>
      <c r="C127" s="7" t="s">
        <v>404</v>
      </c>
      <c r="D127" s="7" t="s">
        <v>279</v>
      </c>
      <c r="E127" s="19">
        <v>0.0</v>
      </c>
      <c r="F127" s="18">
        <v>1.0</v>
      </c>
      <c r="G127" s="19">
        <v>0.0</v>
      </c>
      <c r="H127" s="6">
        <f>E127*PV_SESSION+F127*PV_CHALLENGE+G127*PV_WIN</f>
        <v>20</v>
      </c>
    </row>
    <row r="128" ht="15.75" customHeight="1">
      <c r="A128" s="7" t="s">
        <v>203</v>
      </c>
      <c r="B128" s="7" t="s">
        <v>204</v>
      </c>
      <c r="C128" s="7" t="s">
        <v>405</v>
      </c>
      <c r="D128" s="7" t="s">
        <v>279</v>
      </c>
      <c r="E128" s="19">
        <v>0.0</v>
      </c>
      <c r="F128" s="19">
        <v>0.0</v>
      </c>
      <c r="G128" s="19">
        <v>0.0</v>
      </c>
      <c r="H128" s="6">
        <f>E128*PV_SESSION+F128*PV_CHALLENGE+G128*PV_WIN</f>
        <v>0</v>
      </c>
    </row>
    <row r="129" ht="15.75" customHeight="1">
      <c r="A129" s="7" t="s">
        <v>203</v>
      </c>
      <c r="B129" s="7" t="s">
        <v>204</v>
      </c>
      <c r="C129" s="7" t="s">
        <v>406</v>
      </c>
      <c r="D129" s="7" t="s">
        <v>281</v>
      </c>
      <c r="E129" s="19">
        <v>0.0</v>
      </c>
      <c r="F129" s="19">
        <v>0.0</v>
      </c>
      <c r="G129" s="19">
        <v>0.0</v>
      </c>
      <c r="H129" s="6">
        <f>E129*PV_SESSION+F129*PV_CHALLENGE+G129*PV_WIN</f>
        <v>0</v>
      </c>
    </row>
    <row r="130" ht="15.75" customHeight="1">
      <c r="A130" s="7" t="s">
        <v>205</v>
      </c>
      <c r="B130" s="7" t="s">
        <v>206</v>
      </c>
      <c r="C130" s="7" t="s">
        <v>407</v>
      </c>
      <c r="D130" s="7" t="s">
        <v>279</v>
      </c>
      <c r="E130" s="19">
        <v>0.0</v>
      </c>
      <c r="F130" s="19">
        <v>0.0</v>
      </c>
      <c r="G130" s="19">
        <v>0.0</v>
      </c>
      <c r="H130" s="6">
        <f>E130*PV_SESSION+F130*PV_CHALLENGE+G130*PV_WIN</f>
        <v>0</v>
      </c>
    </row>
    <row r="131" ht="15.75" customHeight="1">
      <c r="A131" s="7" t="s">
        <v>207</v>
      </c>
      <c r="B131" s="7" t="s">
        <v>208</v>
      </c>
      <c r="C131" s="7" t="s">
        <v>408</v>
      </c>
      <c r="D131" s="7" t="s">
        <v>279</v>
      </c>
      <c r="E131" s="18">
        <v>2.0</v>
      </c>
      <c r="F131" s="18">
        <v>1.0</v>
      </c>
      <c r="G131" s="19">
        <v>0.0</v>
      </c>
      <c r="H131" s="6">
        <f>E131*PV_SESSION+F131*PV_CHALLENGE+G131*PV_WIN</f>
        <v>30</v>
      </c>
    </row>
    <row r="132" ht="15.75" customHeight="1">
      <c r="A132" s="7" t="s">
        <v>207</v>
      </c>
      <c r="B132" s="7" t="s">
        <v>208</v>
      </c>
      <c r="C132" s="7" t="s">
        <v>409</v>
      </c>
      <c r="D132" s="7" t="s">
        <v>281</v>
      </c>
      <c r="E132" s="19">
        <v>0.0</v>
      </c>
      <c r="F132" s="19">
        <v>0.0</v>
      </c>
      <c r="G132" s="19">
        <v>0.0</v>
      </c>
      <c r="H132" s="6">
        <f>E132*PV_SESSION+F132*PV_CHALLENGE+G132*PV_WIN</f>
        <v>0</v>
      </c>
    </row>
    <row r="133" ht="15.75" customHeight="1">
      <c r="A133" s="7" t="s">
        <v>207</v>
      </c>
      <c r="B133" s="7" t="s">
        <v>208</v>
      </c>
      <c r="C133" s="7" t="s">
        <v>410</v>
      </c>
      <c r="D133" s="7" t="s">
        <v>281</v>
      </c>
      <c r="E133" s="18">
        <v>2.0</v>
      </c>
      <c r="F133" s="18">
        <v>1.0</v>
      </c>
      <c r="G133" s="19">
        <v>0.0</v>
      </c>
      <c r="H133" s="6">
        <f>E133*PV_SESSION+F133*PV_CHALLENGE+G133*PV_WIN</f>
        <v>30</v>
      </c>
    </row>
    <row r="134" ht="15.75" customHeight="1">
      <c r="A134" s="7" t="s">
        <v>209</v>
      </c>
      <c r="B134" s="7" t="s">
        <v>210</v>
      </c>
      <c r="C134" s="7" t="s">
        <v>411</v>
      </c>
      <c r="D134" s="7" t="s">
        <v>279</v>
      </c>
      <c r="E134" s="19">
        <v>0.0</v>
      </c>
      <c r="F134" s="19">
        <v>0.0</v>
      </c>
      <c r="G134" s="19">
        <v>0.0</v>
      </c>
      <c r="H134" s="6">
        <f>E134*PV_SESSION+F134*PV_CHALLENGE+G134*PV_WIN</f>
        <v>0</v>
      </c>
    </row>
    <row r="135" ht="15.75" customHeight="1">
      <c r="A135" s="7" t="s">
        <v>209</v>
      </c>
      <c r="B135" s="7" t="s">
        <v>210</v>
      </c>
      <c r="C135" s="7" t="s">
        <v>412</v>
      </c>
      <c r="D135" s="7" t="s">
        <v>281</v>
      </c>
      <c r="E135" s="19">
        <v>0.0</v>
      </c>
      <c r="F135" s="19">
        <v>0.0</v>
      </c>
      <c r="G135" s="19">
        <v>0.0</v>
      </c>
      <c r="H135" s="6">
        <f>E135*PV_SESSION+F135*PV_CHALLENGE+G135*PV_WIN</f>
        <v>0</v>
      </c>
    </row>
    <row r="136" ht="15.75" customHeight="1">
      <c r="A136" s="7" t="s">
        <v>209</v>
      </c>
      <c r="B136" s="7" t="s">
        <v>210</v>
      </c>
      <c r="C136" s="7" t="s">
        <v>413</v>
      </c>
      <c r="D136" s="7" t="s">
        <v>281</v>
      </c>
      <c r="E136" s="19">
        <v>0.0</v>
      </c>
      <c r="F136" s="19">
        <v>0.0</v>
      </c>
      <c r="G136" s="19">
        <v>0.0</v>
      </c>
      <c r="H136" s="6">
        <f>E136*PV_SESSION+F136*PV_CHALLENGE+G136*PV_WIN</f>
        <v>0</v>
      </c>
    </row>
    <row r="137" ht="15.75" customHeight="1">
      <c r="A137" s="7" t="s">
        <v>211</v>
      </c>
      <c r="B137" s="7" t="s">
        <v>212</v>
      </c>
      <c r="C137" s="7" t="s">
        <v>414</v>
      </c>
      <c r="D137" s="7" t="s">
        <v>279</v>
      </c>
      <c r="E137" s="19">
        <v>0.0</v>
      </c>
      <c r="F137" s="19">
        <v>0.0</v>
      </c>
      <c r="G137" s="19">
        <v>0.0</v>
      </c>
      <c r="H137" s="6">
        <f>E137*PV_SESSION+F137*PV_CHALLENGE+G137*PV_WIN</f>
        <v>0</v>
      </c>
    </row>
    <row r="138" ht="15.75" customHeight="1">
      <c r="A138" s="7" t="s">
        <v>213</v>
      </c>
      <c r="B138" s="7" t="s">
        <v>214</v>
      </c>
      <c r="C138" s="7" t="s">
        <v>415</v>
      </c>
      <c r="D138" s="7" t="s">
        <v>279</v>
      </c>
      <c r="E138" s="19">
        <v>0.0</v>
      </c>
      <c r="F138" s="19">
        <v>0.0</v>
      </c>
      <c r="G138" s="19">
        <v>0.0</v>
      </c>
      <c r="H138" s="6">
        <f>E138*PV_SESSION+F138*PV_CHALLENGE+G138*PV_WIN</f>
        <v>0</v>
      </c>
    </row>
    <row r="139" ht="15.75" customHeight="1">
      <c r="A139" s="7" t="s">
        <v>213</v>
      </c>
      <c r="B139" s="7" t="s">
        <v>214</v>
      </c>
      <c r="C139" s="7" t="s">
        <v>416</v>
      </c>
      <c r="D139" s="7" t="s">
        <v>281</v>
      </c>
      <c r="E139" s="19">
        <v>0.0</v>
      </c>
      <c r="F139" s="19">
        <v>0.0</v>
      </c>
      <c r="G139" s="19">
        <v>0.0</v>
      </c>
      <c r="H139" s="6">
        <f>E139*PV_SESSION+F139*PV_CHALLENGE+G139*PV_WIN</f>
        <v>0</v>
      </c>
    </row>
    <row r="140" ht="15.75" customHeight="1">
      <c r="A140" s="7" t="s">
        <v>215</v>
      </c>
      <c r="B140" s="7" t="s">
        <v>216</v>
      </c>
      <c r="C140" s="7" t="s">
        <v>417</v>
      </c>
      <c r="D140" s="7" t="s">
        <v>279</v>
      </c>
      <c r="E140" s="18">
        <v>2.0</v>
      </c>
      <c r="F140" s="18">
        <v>1.0</v>
      </c>
      <c r="G140" s="19">
        <v>0.0</v>
      </c>
      <c r="H140" s="6">
        <f>E140*PV_SESSION+F140*PV_CHALLENGE+G140*PV_WIN</f>
        <v>30</v>
      </c>
    </row>
    <row r="141" ht="15.75" customHeight="1">
      <c r="A141" s="7" t="s">
        <v>215</v>
      </c>
      <c r="B141" s="7" t="s">
        <v>216</v>
      </c>
      <c r="C141" s="7" t="s">
        <v>417</v>
      </c>
      <c r="D141" s="7" t="s">
        <v>281</v>
      </c>
      <c r="E141" s="18">
        <v>2.0</v>
      </c>
      <c r="F141" s="18">
        <v>1.0</v>
      </c>
      <c r="G141" s="19">
        <v>0.0</v>
      </c>
      <c r="H141" s="6">
        <f>E141*PV_SESSION+F141*PV_CHALLENGE+G141*PV_WIN</f>
        <v>30</v>
      </c>
    </row>
    <row r="142" ht="15.75" customHeight="1">
      <c r="A142" s="7" t="s">
        <v>217</v>
      </c>
      <c r="B142" s="7" t="s">
        <v>218</v>
      </c>
      <c r="C142" s="7" t="s">
        <v>418</v>
      </c>
      <c r="D142" s="7" t="s">
        <v>279</v>
      </c>
      <c r="E142" s="19">
        <v>0.0</v>
      </c>
      <c r="F142" s="19">
        <v>0.0</v>
      </c>
      <c r="G142" s="19">
        <v>0.0</v>
      </c>
      <c r="H142" s="6">
        <f>E142*PV_SESSION+F142*PV_CHALLENGE+G142*PV_WIN</f>
        <v>0</v>
      </c>
    </row>
    <row r="143" ht="15.75" customHeight="1">
      <c r="A143" s="7" t="s">
        <v>217</v>
      </c>
      <c r="B143" s="7" t="s">
        <v>218</v>
      </c>
      <c r="C143" s="7" t="s">
        <v>419</v>
      </c>
      <c r="D143" s="7" t="s">
        <v>281</v>
      </c>
      <c r="E143" s="19">
        <v>0.0</v>
      </c>
      <c r="F143" s="19">
        <v>0.0</v>
      </c>
      <c r="G143" s="19">
        <v>0.0</v>
      </c>
      <c r="H143" s="6">
        <f>E143*PV_SESSION+F143*PV_CHALLENGE+G143*PV_WIN</f>
        <v>0</v>
      </c>
    </row>
    <row r="144" ht="15.75" customHeight="1">
      <c r="A144" s="7" t="s">
        <v>217</v>
      </c>
      <c r="B144" s="7" t="s">
        <v>218</v>
      </c>
      <c r="C144" s="7" t="s">
        <v>420</v>
      </c>
      <c r="D144" s="7" t="s">
        <v>281</v>
      </c>
      <c r="E144" s="19">
        <v>0.0</v>
      </c>
      <c r="F144" s="19">
        <v>0.0</v>
      </c>
      <c r="G144" s="19">
        <v>0.0</v>
      </c>
      <c r="H144" s="6">
        <f>E144*PV_SESSION+F144*PV_CHALLENGE+G144*PV_WIN</f>
        <v>0</v>
      </c>
    </row>
    <row r="145" ht="15.75" customHeight="1">
      <c r="A145" s="7" t="s">
        <v>217</v>
      </c>
      <c r="B145" s="7" t="s">
        <v>218</v>
      </c>
      <c r="C145" s="7" t="s">
        <v>421</v>
      </c>
      <c r="D145" s="7" t="s">
        <v>281</v>
      </c>
      <c r="E145" s="19">
        <v>0.0</v>
      </c>
      <c r="F145" s="19">
        <v>0.0</v>
      </c>
      <c r="G145" s="19">
        <v>0.0</v>
      </c>
      <c r="H145" s="6">
        <f>E145*PV_SESSION+F145*PV_CHALLENGE+G145*PV_WIN</f>
        <v>0</v>
      </c>
    </row>
    <row r="146" ht="15.75" customHeight="1">
      <c r="A146" s="7" t="s">
        <v>219</v>
      </c>
      <c r="B146" s="7" t="s">
        <v>220</v>
      </c>
      <c r="C146" s="7" t="s">
        <v>422</v>
      </c>
      <c r="D146" s="7" t="s">
        <v>279</v>
      </c>
      <c r="E146" s="19">
        <v>0.0</v>
      </c>
      <c r="F146" s="19">
        <v>0.0</v>
      </c>
      <c r="G146" s="19">
        <v>0.0</v>
      </c>
      <c r="H146" s="6">
        <f>E146*PV_SESSION+F146*PV_CHALLENGE+G146*PV_WIN</f>
        <v>0</v>
      </c>
    </row>
    <row r="147" ht="15.75" customHeight="1">
      <c r="A147" s="7" t="s">
        <v>219</v>
      </c>
      <c r="B147" s="7" t="s">
        <v>220</v>
      </c>
      <c r="C147" s="7" t="s">
        <v>423</v>
      </c>
      <c r="D147" s="7" t="s">
        <v>281</v>
      </c>
      <c r="E147" s="19">
        <v>0.0</v>
      </c>
      <c r="F147" s="19">
        <v>0.0</v>
      </c>
      <c r="G147" s="19">
        <v>0.0</v>
      </c>
      <c r="H147" s="6">
        <f>E147*PV_SESSION+F147*PV_CHALLENGE+G147*PV_WIN</f>
        <v>0</v>
      </c>
    </row>
    <row r="148" ht="15.75" customHeight="1">
      <c r="A148" s="7" t="s">
        <v>219</v>
      </c>
      <c r="B148" s="7" t="s">
        <v>220</v>
      </c>
      <c r="C148" s="7" t="s">
        <v>424</v>
      </c>
      <c r="D148" s="7" t="s">
        <v>281</v>
      </c>
      <c r="E148" s="19">
        <v>0.0</v>
      </c>
      <c r="F148" s="19">
        <v>0.0</v>
      </c>
      <c r="G148" s="19">
        <v>0.0</v>
      </c>
      <c r="H148" s="6">
        <f>E148*PV_SESSION+F148*PV_CHALLENGE+G148*PV_WIN</f>
        <v>0</v>
      </c>
    </row>
    <row r="149" ht="15.75" customHeight="1">
      <c r="A149" s="7" t="s">
        <v>219</v>
      </c>
      <c r="B149" s="7" t="s">
        <v>220</v>
      </c>
      <c r="C149" s="7" t="s">
        <v>425</v>
      </c>
      <c r="D149" s="7" t="s">
        <v>281</v>
      </c>
      <c r="E149" s="19">
        <v>0.0</v>
      </c>
      <c r="F149" s="19">
        <v>0.0</v>
      </c>
      <c r="G149" s="19">
        <v>0.0</v>
      </c>
      <c r="H149" s="6">
        <f>E149*PV_SESSION+F149*PV_CHALLENGE+G149*PV_WIN</f>
        <v>0</v>
      </c>
    </row>
    <row r="150" ht="15.75" customHeight="1">
      <c r="A150" s="7" t="s">
        <v>221</v>
      </c>
      <c r="B150" s="7" t="s">
        <v>222</v>
      </c>
      <c r="C150" s="7" t="s">
        <v>426</v>
      </c>
      <c r="D150" s="7" t="s">
        <v>279</v>
      </c>
      <c r="E150" s="19">
        <v>0.0</v>
      </c>
      <c r="F150" s="19">
        <v>0.0</v>
      </c>
      <c r="G150" s="19">
        <v>0.0</v>
      </c>
      <c r="H150" s="6">
        <f>E150*PV_SESSION+F150*PV_CHALLENGE+G150*PV_WIN</f>
        <v>0</v>
      </c>
    </row>
    <row r="151" ht="15.75" customHeight="1">
      <c r="A151" s="7" t="s">
        <v>221</v>
      </c>
      <c r="B151" s="7" t="s">
        <v>222</v>
      </c>
      <c r="C151" s="7" t="s">
        <v>427</v>
      </c>
      <c r="D151" s="7" t="s">
        <v>281</v>
      </c>
      <c r="E151" s="19">
        <v>0.0</v>
      </c>
      <c r="F151" s="19">
        <v>0.0</v>
      </c>
      <c r="G151" s="19">
        <v>0.0</v>
      </c>
      <c r="H151" s="6">
        <f>E151*PV_SESSION+F151*PV_CHALLENGE+G151*PV_WIN</f>
        <v>0</v>
      </c>
    </row>
    <row r="152" ht="15.75" customHeight="1">
      <c r="A152" s="7" t="s">
        <v>221</v>
      </c>
      <c r="B152" s="7" t="s">
        <v>222</v>
      </c>
      <c r="C152" s="7" t="s">
        <v>428</v>
      </c>
      <c r="D152" s="7" t="s">
        <v>281</v>
      </c>
      <c r="E152" s="19">
        <v>0.0</v>
      </c>
      <c r="F152" s="19">
        <v>0.0</v>
      </c>
      <c r="G152" s="19">
        <v>0.0</v>
      </c>
      <c r="H152" s="6">
        <f>E152*PV_SESSION+F152*PV_CHALLENGE+G152*PV_WIN</f>
        <v>0</v>
      </c>
    </row>
    <row r="153" ht="15.75" customHeight="1">
      <c r="A153" s="7" t="s">
        <v>223</v>
      </c>
      <c r="B153" s="7" t="s">
        <v>224</v>
      </c>
      <c r="C153" s="7" t="s">
        <v>429</v>
      </c>
      <c r="D153" s="7" t="s">
        <v>279</v>
      </c>
      <c r="E153" s="19">
        <v>0.0</v>
      </c>
      <c r="F153" s="19">
        <v>0.0</v>
      </c>
      <c r="G153" s="19">
        <v>0.0</v>
      </c>
      <c r="H153" s="6">
        <f>E153*PV_SESSION+F153*PV_CHALLENGE+G153*PV_WIN</f>
        <v>0</v>
      </c>
    </row>
    <row r="154" ht="15.75" customHeight="1">
      <c r="A154" s="7" t="s">
        <v>223</v>
      </c>
      <c r="B154" s="7" t="s">
        <v>224</v>
      </c>
      <c r="C154" s="7" t="s">
        <v>430</v>
      </c>
      <c r="D154" s="7" t="s">
        <v>281</v>
      </c>
      <c r="E154" s="19">
        <v>0.0</v>
      </c>
      <c r="F154" s="19">
        <v>0.0</v>
      </c>
      <c r="G154" s="19">
        <v>0.0</v>
      </c>
      <c r="H154" s="6">
        <f>E154*PV_SESSION+F154*PV_CHALLENGE+G154*PV_WIN</f>
        <v>0</v>
      </c>
    </row>
    <row r="155" ht="15.75" customHeight="1">
      <c r="A155" s="7" t="s">
        <v>223</v>
      </c>
      <c r="B155" s="7" t="s">
        <v>224</v>
      </c>
      <c r="C155" s="7" t="s">
        <v>431</v>
      </c>
      <c r="D155" s="7" t="s">
        <v>281</v>
      </c>
      <c r="E155" s="19">
        <v>0.0</v>
      </c>
      <c r="F155" s="19">
        <v>0.0</v>
      </c>
      <c r="G155" s="19">
        <v>0.0</v>
      </c>
      <c r="H155" s="6">
        <f>E155*PV_SESSION+F155*PV_CHALLENGE+G155*PV_WIN</f>
        <v>0</v>
      </c>
    </row>
    <row r="156" ht="15.75" customHeight="1">
      <c r="A156" s="7" t="s">
        <v>223</v>
      </c>
      <c r="B156" s="7" t="s">
        <v>224</v>
      </c>
      <c r="C156" s="7" t="s">
        <v>432</v>
      </c>
      <c r="D156" s="7" t="s">
        <v>281</v>
      </c>
      <c r="E156" s="19">
        <v>0.0</v>
      </c>
      <c r="F156" s="18">
        <v>1.0</v>
      </c>
      <c r="G156" s="19">
        <v>0.0</v>
      </c>
      <c r="H156" s="6">
        <f>E156*PV_SESSION+F156*PV_CHALLENGE+G156*PV_WIN</f>
        <v>20</v>
      </c>
    </row>
    <row r="157" ht="15.75" customHeight="1">
      <c r="A157" s="7" t="s">
        <v>225</v>
      </c>
      <c r="B157" s="7" t="s">
        <v>226</v>
      </c>
      <c r="C157" s="7" t="s">
        <v>433</v>
      </c>
      <c r="D157" s="7" t="s">
        <v>279</v>
      </c>
      <c r="E157" s="19">
        <v>0.0</v>
      </c>
      <c r="F157" s="19">
        <v>0.0</v>
      </c>
      <c r="G157" s="19">
        <v>0.0</v>
      </c>
      <c r="H157" s="6">
        <f>E157*PV_SESSION+F157*PV_CHALLENGE+G157*PV_WIN</f>
        <v>0</v>
      </c>
    </row>
    <row r="158" ht="15.75" customHeight="1">
      <c r="A158" s="7" t="s">
        <v>225</v>
      </c>
      <c r="B158" s="7" t="s">
        <v>226</v>
      </c>
      <c r="C158" s="7" t="s">
        <v>434</v>
      </c>
      <c r="D158" s="7" t="s">
        <v>281</v>
      </c>
      <c r="E158" s="19">
        <v>0.0</v>
      </c>
      <c r="F158" s="19">
        <v>0.0</v>
      </c>
      <c r="G158" s="19">
        <v>0.0</v>
      </c>
      <c r="H158" s="6">
        <f>E158*PV_SESSION+F158*PV_CHALLENGE+G158*PV_WIN</f>
        <v>0</v>
      </c>
    </row>
    <row r="159" ht="15.75" customHeight="1">
      <c r="A159" s="7" t="s">
        <v>227</v>
      </c>
      <c r="B159" s="7" t="s">
        <v>228</v>
      </c>
      <c r="C159" s="7" t="s">
        <v>435</v>
      </c>
      <c r="D159" s="7" t="s">
        <v>279</v>
      </c>
      <c r="E159" s="19">
        <v>0.0</v>
      </c>
      <c r="F159" s="19">
        <v>0.0</v>
      </c>
      <c r="G159" s="19">
        <v>0.0</v>
      </c>
      <c r="H159" s="6">
        <f>E159*PV_SESSION+F159*PV_CHALLENGE+G159*PV_WIN</f>
        <v>0</v>
      </c>
    </row>
    <row r="160" ht="15.75" customHeight="1">
      <c r="A160" s="7" t="s">
        <v>227</v>
      </c>
      <c r="B160" s="7" t="s">
        <v>228</v>
      </c>
      <c r="C160" s="7" t="s">
        <v>436</v>
      </c>
      <c r="D160" s="7" t="s">
        <v>281</v>
      </c>
      <c r="E160" s="19">
        <v>0.0</v>
      </c>
      <c r="F160" s="19">
        <v>0.0</v>
      </c>
      <c r="G160" s="19">
        <v>0.0</v>
      </c>
      <c r="H160" s="6">
        <f>E160*PV_SESSION+F160*PV_CHALLENGE+G160*PV_WIN</f>
        <v>0</v>
      </c>
    </row>
    <row r="161" ht="15.75" customHeight="1">
      <c r="A161" s="7" t="s">
        <v>229</v>
      </c>
      <c r="B161" s="7" t="s">
        <v>230</v>
      </c>
      <c r="C161" s="7" t="s">
        <v>437</v>
      </c>
      <c r="D161" s="7" t="s">
        <v>279</v>
      </c>
      <c r="E161" s="19">
        <v>0.0</v>
      </c>
      <c r="F161" s="19">
        <v>0.0</v>
      </c>
      <c r="G161" s="19">
        <v>0.0</v>
      </c>
      <c r="H161" s="6">
        <f>E161*PV_SESSION+F161*PV_CHALLENGE+G161*PV_WIN</f>
        <v>0</v>
      </c>
    </row>
    <row r="162" ht="15.75" customHeight="1">
      <c r="A162" s="7" t="s">
        <v>229</v>
      </c>
      <c r="B162" s="7" t="s">
        <v>230</v>
      </c>
      <c r="C162" s="7" t="s">
        <v>438</v>
      </c>
      <c r="D162" s="7" t="s">
        <v>281</v>
      </c>
      <c r="E162" s="19">
        <v>0.0</v>
      </c>
      <c r="F162" s="19">
        <v>0.0</v>
      </c>
      <c r="G162" s="19">
        <v>0.0</v>
      </c>
      <c r="H162" s="6">
        <f>E162*PV_SESSION+F162*PV_CHALLENGE+G162*PV_WIN</f>
        <v>0</v>
      </c>
    </row>
    <row r="163" ht="15.75" customHeight="1">
      <c r="A163" s="7" t="s">
        <v>229</v>
      </c>
      <c r="B163" s="7" t="s">
        <v>230</v>
      </c>
      <c r="C163" s="7" t="s">
        <v>439</v>
      </c>
      <c r="D163" s="7" t="s">
        <v>281</v>
      </c>
      <c r="E163" s="19">
        <v>0.0</v>
      </c>
      <c r="F163" s="19">
        <v>0.0</v>
      </c>
      <c r="G163" s="19">
        <v>0.0</v>
      </c>
      <c r="H163" s="6">
        <f>E163*PV_SESSION+F163*PV_CHALLENGE+G163*PV_WIN</f>
        <v>0</v>
      </c>
    </row>
    <row r="164" ht="15.75" customHeight="1">
      <c r="A164" s="7" t="s">
        <v>229</v>
      </c>
      <c r="B164" s="7" t="s">
        <v>230</v>
      </c>
      <c r="C164" s="7" t="s">
        <v>440</v>
      </c>
      <c r="D164" s="7" t="s">
        <v>281</v>
      </c>
      <c r="E164" s="19">
        <v>0.0</v>
      </c>
      <c r="F164" s="19">
        <v>0.0</v>
      </c>
      <c r="G164" s="19">
        <v>0.0</v>
      </c>
      <c r="H164" s="6">
        <f>E164*PV_SESSION+F164*PV_CHALLENGE+G164*PV_WIN</f>
        <v>0</v>
      </c>
    </row>
    <row r="165" ht="15.75" customHeight="1">
      <c r="A165" s="7" t="s">
        <v>231</v>
      </c>
      <c r="B165" s="7" t="s">
        <v>232</v>
      </c>
      <c r="C165" s="7" t="s">
        <v>441</v>
      </c>
      <c r="D165" s="7" t="s">
        <v>279</v>
      </c>
      <c r="E165" s="19">
        <v>0.0</v>
      </c>
      <c r="F165" s="19">
        <v>0.0</v>
      </c>
      <c r="G165" s="19">
        <v>0.0</v>
      </c>
      <c r="H165" s="6">
        <f>E165*PV_SESSION+F165*PV_CHALLENGE+G165*PV_WIN</f>
        <v>0</v>
      </c>
    </row>
    <row r="166" ht="15.75" customHeight="1">
      <c r="A166" s="7" t="s">
        <v>231</v>
      </c>
      <c r="B166" s="7" t="s">
        <v>232</v>
      </c>
      <c r="C166" s="7" t="s">
        <v>442</v>
      </c>
      <c r="D166" s="7" t="s">
        <v>281</v>
      </c>
      <c r="E166" s="19">
        <v>0.0</v>
      </c>
      <c r="F166" s="19">
        <v>0.0</v>
      </c>
      <c r="G166" s="19">
        <v>0.0</v>
      </c>
      <c r="H166" s="6">
        <f>E166*PV_SESSION+F166*PV_CHALLENGE+G166*PV_WIN</f>
        <v>0</v>
      </c>
    </row>
    <row r="167" ht="15.75" customHeight="1">
      <c r="A167" s="7" t="s">
        <v>233</v>
      </c>
      <c r="B167" s="7" t="s">
        <v>234</v>
      </c>
      <c r="C167" s="7" t="s">
        <v>443</v>
      </c>
      <c r="D167" s="7" t="s">
        <v>279</v>
      </c>
      <c r="E167" s="19">
        <v>0.0</v>
      </c>
      <c r="F167" s="19">
        <v>0.0</v>
      </c>
      <c r="G167" s="19">
        <v>0.0</v>
      </c>
      <c r="H167" s="6">
        <f>E167*PV_SESSION+F167*PV_CHALLENGE+G167*PV_WIN</f>
        <v>0</v>
      </c>
    </row>
    <row r="168" ht="15.75" customHeight="1">
      <c r="A168" s="7" t="s">
        <v>233</v>
      </c>
      <c r="B168" s="7" t="s">
        <v>234</v>
      </c>
      <c r="C168" s="7" t="s">
        <v>444</v>
      </c>
      <c r="D168" s="7" t="s">
        <v>281</v>
      </c>
      <c r="E168" s="19">
        <v>0.0</v>
      </c>
      <c r="F168" s="19">
        <v>0.0</v>
      </c>
      <c r="G168" s="19">
        <v>0.0</v>
      </c>
      <c r="H168" s="6">
        <f>E168*PV_SESSION+F168*PV_CHALLENGE+G168*PV_WIN</f>
        <v>0</v>
      </c>
    </row>
    <row r="169" ht="15.75" customHeight="1">
      <c r="A169" s="7" t="s">
        <v>235</v>
      </c>
      <c r="B169" s="7" t="s">
        <v>236</v>
      </c>
      <c r="C169" s="7" t="s">
        <v>445</v>
      </c>
      <c r="D169" s="7" t="s">
        <v>279</v>
      </c>
      <c r="E169" s="18">
        <v>2.0</v>
      </c>
      <c r="F169" s="18">
        <v>1.0</v>
      </c>
      <c r="G169" s="19">
        <v>0.0</v>
      </c>
      <c r="H169" s="6">
        <f>E169*PV_SESSION+F169*PV_CHALLENGE+G169*PV_WIN</f>
        <v>30</v>
      </c>
    </row>
    <row r="170" ht="15.75" customHeight="1">
      <c r="A170" s="7" t="s">
        <v>235</v>
      </c>
      <c r="B170" s="7" t="s">
        <v>236</v>
      </c>
      <c r="C170" s="7" t="s">
        <v>446</v>
      </c>
      <c r="D170" s="7" t="s">
        <v>281</v>
      </c>
      <c r="E170" s="18">
        <v>2.0</v>
      </c>
      <c r="F170" s="18">
        <v>1.0</v>
      </c>
      <c r="G170" s="18">
        <v>1.0</v>
      </c>
      <c r="H170" s="6">
        <f>E170*PV_SESSION+F170*PV_CHALLENGE+G170*PV_WIN</f>
        <v>60</v>
      </c>
    </row>
    <row r="171" ht="15.75" customHeight="1">
      <c r="A171" s="7" t="s">
        <v>237</v>
      </c>
      <c r="B171" s="7" t="s">
        <v>238</v>
      </c>
      <c r="C171" s="7" t="s">
        <v>447</v>
      </c>
      <c r="D171" s="7" t="s">
        <v>279</v>
      </c>
      <c r="E171" s="18">
        <v>2.0</v>
      </c>
      <c r="F171" s="18">
        <v>1.0</v>
      </c>
      <c r="G171" s="18">
        <v>1.0</v>
      </c>
      <c r="H171" s="6">
        <f>E171*PV_SESSION+F171*PV_CHALLENGE+G171*PV_WIN</f>
        <v>60</v>
      </c>
    </row>
    <row r="172" ht="15.75" customHeight="1">
      <c r="A172" s="7" t="s">
        <v>237</v>
      </c>
      <c r="B172" s="7" t="s">
        <v>238</v>
      </c>
      <c r="C172" s="7" t="s">
        <v>448</v>
      </c>
      <c r="D172" s="7" t="s">
        <v>281</v>
      </c>
      <c r="E172" s="19">
        <v>0.0</v>
      </c>
      <c r="F172" s="19">
        <v>0.0</v>
      </c>
      <c r="G172" s="19">
        <v>0.0</v>
      </c>
      <c r="H172" s="6">
        <f>E172*PV_SESSION+F172*PV_CHALLENGE+G172*PV_WIN</f>
        <v>0</v>
      </c>
    </row>
    <row r="173" ht="15.75" customHeight="1">
      <c r="A173" s="7" t="s">
        <v>239</v>
      </c>
      <c r="B173" s="7" t="s">
        <v>240</v>
      </c>
      <c r="C173" s="7" t="s">
        <v>449</v>
      </c>
      <c r="D173" s="7" t="s">
        <v>279</v>
      </c>
      <c r="E173" s="19">
        <v>0.0</v>
      </c>
      <c r="F173" s="19">
        <v>0.0</v>
      </c>
      <c r="G173" s="19">
        <v>0.0</v>
      </c>
      <c r="H173" s="6">
        <f>E173*PV_SESSION+F173*PV_CHALLENGE+G173*PV_WIN</f>
        <v>0</v>
      </c>
    </row>
    <row r="174" ht="15.75" customHeight="1">
      <c r="A174" s="7" t="s">
        <v>239</v>
      </c>
      <c r="B174" s="7" t="s">
        <v>240</v>
      </c>
      <c r="C174" s="7" t="s">
        <v>450</v>
      </c>
      <c r="D174" s="7" t="s">
        <v>281</v>
      </c>
      <c r="E174" s="19">
        <v>0.0</v>
      </c>
      <c r="F174" s="19">
        <v>0.0</v>
      </c>
      <c r="G174" s="19">
        <v>0.0</v>
      </c>
      <c r="H174" s="6">
        <f>E174*PV_SESSION+F174*PV_CHALLENGE+G174*PV_WIN</f>
        <v>0</v>
      </c>
    </row>
    <row r="175" ht="15.75" customHeight="1">
      <c r="A175" s="7" t="s">
        <v>241</v>
      </c>
      <c r="B175" s="7" t="s">
        <v>242</v>
      </c>
      <c r="C175" s="7" t="s">
        <v>301</v>
      </c>
      <c r="D175" s="7" t="s">
        <v>279</v>
      </c>
      <c r="E175" s="19">
        <v>0.0</v>
      </c>
      <c r="F175" s="18">
        <v>1.0</v>
      </c>
      <c r="G175" s="19">
        <v>0.0</v>
      </c>
      <c r="H175" s="6">
        <f>E175*PV_SESSION+F175*PV_CHALLENGE+G175*PV_WIN</f>
        <v>20</v>
      </c>
    </row>
    <row r="176" ht="15.75" customHeight="1">
      <c r="A176" s="7" t="s">
        <v>241</v>
      </c>
      <c r="B176" s="7" t="s">
        <v>242</v>
      </c>
      <c r="C176" s="7" t="s">
        <v>451</v>
      </c>
      <c r="D176" s="7" t="s">
        <v>281</v>
      </c>
      <c r="E176" s="18">
        <v>2.0</v>
      </c>
      <c r="F176" s="18">
        <v>1.0</v>
      </c>
      <c r="G176" s="19">
        <v>0.0</v>
      </c>
      <c r="H176" s="6">
        <f>E176*PV_SESSION+F176*PV_CHALLENGE+G176*PV_WIN</f>
        <v>30</v>
      </c>
    </row>
    <row r="177" ht="15.75" customHeight="1">
      <c r="A177" s="7" t="s">
        <v>243</v>
      </c>
      <c r="B177" s="7" t="s">
        <v>244</v>
      </c>
      <c r="C177" s="7" t="s">
        <v>452</v>
      </c>
      <c r="D177" s="7" t="s">
        <v>279</v>
      </c>
      <c r="E177" s="19">
        <v>0.0</v>
      </c>
      <c r="F177" s="19">
        <v>0.0</v>
      </c>
      <c r="G177" s="19">
        <v>0.0</v>
      </c>
      <c r="H177" s="6">
        <f>E177*PV_SESSION+F177*PV_CHALLENGE+G177*PV_WIN</f>
        <v>0</v>
      </c>
    </row>
    <row r="178" ht="15.75" customHeight="1">
      <c r="A178" s="7" t="s">
        <v>243</v>
      </c>
      <c r="B178" s="7" t="s">
        <v>244</v>
      </c>
      <c r="C178" s="7" t="s">
        <v>453</v>
      </c>
      <c r="D178" s="7" t="s">
        <v>281</v>
      </c>
      <c r="E178" s="19">
        <v>0.0</v>
      </c>
      <c r="F178" s="19">
        <v>0.0</v>
      </c>
      <c r="G178" s="19">
        <v>0.0</v>
      </c>
      <c r="H178" s="6">
        <f>E178*PV_SESSION+F178*PV_CHALLENGE+G178*PV_WIN</f>
        <v>0</v>
      </c>
    </row>
    <row r="179" ht="15.75" customHeight="1">
      <c r="A179" s="7" t="s">
        <v>245</v>
      </c>
      <c r="B179" s="7" t="s">
        <v>246</v>
      </c>
      <c r="C179" s="7" t="s">
        <v>294</v>
      </c>
      <c r="D179" s="7" t="s">
        <v>279</v>
      </c>
      <c r="E179" s="18">
        <v>2.0</v>
      </c>
      <c r="F179" s="18">
        <v>1.0</v>
      </c>
      <c r="G179" s="18">
        <v>1.0</v>
      </c>
      <c r="H179" s="6">
        <f>E179*PV_SESSION+F179*PV_CHALLENGE+G179*PV_WIN</f>
        <v>60</v>
      </c>
    </row>
    <row r="180" ht="15.75" customHeight="1">
      <c r="A180" s="7" t="s">
        <v>245</v>
      </c>
      <c r="B180" s="7" t="s">
        <v>246</v>
      </c>
      <c r="C180" s="7" t="s">
        <v>454</v>
      </c>
      <c r="D180" s="7" t="s">
        <v>281</v>
      </c>
      <c r="E180" s="19">
        <v>0.0</v>
      </c>
      <c r="F180" s="19">
        <v>0.0</v>
      </c>
      <c r="G180" s="19">
        <v>0.0</v>
      </c>
      <c r="H180" s="6">
        <f>E180*PV_SESSION+F180*PV_CHALLENGE+G180*PV_WIN</f>
        <v>0</v>
      </c>
    </row>
    <row r="181" ht="15.75" customHeight="1">
      <c r="A181" s="7" t="s">
        <v>245</v>
      </c>
      <c r="B181" s="7" t="s">
        <v>246</v>
      </c>
      <c r="C181" s="7" t="s">
        <v>455</v>
      </c>
      <c r="D181" s="7" t="s">
        <v>281</v>
      </c>
      <c r="E181" s="19">
        <v>0.0</v>
      </c>
      <c r="F181" s="18">
        <v>1.0</v>
      </c>
      <c r="G181" s="19">
        <v>0.0</v>
      </c>
      <c r="H181" s="6">
        <f>E181*PV_SESSION+F181*PV_CHALLENGE+G181*PV_WIN</f>
        <v>20</v>
      </c>
    </row>
    <row r="182" ht="15.75" customHeight="1">
      <c r="A182" s="7" t="s">
        <v>245</v>
      </c>
      <c r="B182" s="7" t="s">
        <v>246</v>
      </c>
      <c r="C182" s="7" t="s">
        <v>456</v>
      </c>
      <c r="D182" s="7" t="s">
        <v>281</v>
      </c>
      <c r="E182" s="19">
        <v>0.0</v>
      </c>
      <c r="F182" s="19">
        <v>0.0</v>
      </c>
      <c r="G182" s="19">
        <v>0.0</v>
      </c>
      <c r="H182" s="6">
        <f>E182*PV_SESSION+F182*PV_CHALLENGE+G182*PV_WIN</f>
        <v>0</v>
      </c>
    </row>
    <row r="183" ht="15.75" customHeight="1">
      <c r="A183" s="7" t="s">
        <v>247</v>
      </c>
      <c r="B183" s="7" t="s">
        <v>248</v>
      </c>
      <c r="C183" s="7" t="s">
        <v>457</v>
      </c>
      <c r="D183" s="7" t="s">
        <v>279</v>
      </c>
      <c r="E183" s="19">
        <v>0.0</v>
      </c>
      <c r="F183" s="19">
        <v>0.0</v>
      </c>
      <c r="G183" s="19">
        <v>0.0</v>
      </c>
      <c r="H183" s="6">
        <f>E183*PV_SESSION+F183*PV_CHALLENGE+G183*PV_WIN</f>
        <v>0</v>
      </c>
    </row>
    <row r="184" ht="15.75" customHeight="1">
      <c r="A184" s="7" t="s">
        <v>249</v>
      </c>
      <c r="B184" s="7" t="s">
        <v>250</v>
      </c>
      <c r="C184" s="7" t="s">
        <v>458</v>
      </c>
      <c r="D184" s="7" t="s">
        <v>279</v>
      </c>
      <c r="E184" s="18">
        <v>2.0</v>
      </c>
      <c r="F184" s="18">
        <v>1.0</v>
      </c>
      <c r="G184" s="19">
        <v>0.0</v>
      </c>
      <c r="H184" s="6">
        <f>E184*PV_SESSION+F184*PV_CHALLENGE+G184*PV_WIN</f>
        <v>30</v>
      </c>
    </row>
    <row r="185" ht="15.75" customHeight="1">
      <c r="A185" s="7" t="s">
        <v>249</v>
      </c>
      <c r="B185" s="7" t="s">
        <v>250</v>
      </c>
      <c r="C185" s="7" t="s">
        <v>459</v>
      </c>
      <c r="D185" s="7" t="s">
        <v>281</v>
      </c>
      <c r="E185" s="18">
        <v>2.0</v>
      </c>
      <c r="F185" s="18">
        <v>1.0</v>
      </c>
      <c r="G185" s="19">
        <v>0.0</v>
      </c>
      <c r="H185" s="6">
        <f>E185*PV_SESSION+F185*PV_CHALLENGE+G185*PV_WIN</f>
        <v>30</v>
      </c>
    </row>
    <row r="186" ht="15.75" customHeight="1">
      <c r="A186" s="7" t="s">
        <v>249</v>
      </c>
      <c r="B186" s="7" t="s">
        <v>250</v>
      </c>
      <c r="C186" s="7" t="s">
        <v>460</v>
      </c>
      <c r="D186" s="7" t="s">
        <v>281</v>
      </c>
      <c r="E186" s="19">
        <v>0.0</v>
      </c>
      <c r="F186" s="19">
        <v>0.0</v>
      </c>
      <c r="G186" s="19">
        <v>0.0</v>
      </c>
      <c r="H186" s="6">
        <f>E186*PV_SESSION+F186*PV_CHALLENGE+G186*PV_WIN</f>
        <v>0</v>
      </c>
    </row>
    <row r="187" ht="15.75" customHeight="1">
      <c r="A187" s="7" t="s">
        <v>249</v>
      </c>
      <c r="B187" s="7" t="s">
        <v>250</v>
      </c>
      <c r="C187" s="7" t="s">
        <v>461</v>
      </c>
      <c r="D187" s="7" t="s">
        <v>281</v>
      </c>
      <c r="E187" s="18">
        <v>2.0</v>
      </c>
      <c r="F187" s="18">
        <v>1.0</v>
      </c>
      <c r="G187" s="19">
        <v>0.0</v>
      </c>
      <c r="H187" s="6">
        <f>E187*PV_SESSION+F187*PV_CHALLENGE+G187*PV_WIN</f>
        <v>30</v>
      </c>
    </row>
    <row r="188" ht="15.75" customHeight="1">
      <c r="A188" s="7" t="s">
        <v>251</v>
      </c>
      <c r="B188" s="7" t="s">
        <v>252</v>
      </c>
      <c r="C188" s="7" t="s">
        <v>462</v>
      </c>
      <c r="D188" s="7" t="s">
        <v>279</v>
      </c>
      <c r="E188" s="19">
        <v>0.0</v>
      </c>
      <c r="F188" s="19">
        <v>0.0</v>
      </c>
      <c r="G188" s="19">
        <v>0.0</v>
      </c>
      <c r="H188" s="6">
        <f>E188*PV_SESSION+F188*PV_CHALLENGE+G188*PV_WIN</f>
        <v>0</v>
      </c>
    </row>
    <row r="189" ht="15.75" customHeight="1">
      <c r="A189" s="7" t="s">
        <v>251</v>
      </c>
      <c r="B189" s="7" t="s">
        <v>252</v>
      </c>
      <c r="C189" s="7" t="s">
        <v>463</v>
      </c>
      <c r="D189" s="7" t="s">
        <v>281</v>
      </c>
      <c r="E189" s="19">
        <v>0.0</v>
      </c>
      <c r="F189" s="19">
        <v>0.0</v>
      </c>
      <c r="G189" s="19">
        <v>0.0</v>
      </c>
      <c r="H189" s="6">
        <f>E189*PV_SESSION+F189*PV_CHALLENGE+G189*PV_WIN</f>
        <v>0</v>
      </c>
    </row>
    <row r="190" ht="15.75" customHeight="1">
      <c r="A190" s="7" t="s">
        <v>253</v>
      </c>
      <c r="B190" s="7" t="s">
        <v>254</v>
      </c>
      <c r="C190" s="7" t="s">
        <v>464</v>
      </c>
      <c r="D190" s="7" t="s">
        <v>279</v>
      </c>
      <c r="E190" s="19">
        <v>0.0</v>
      </c>
      <c r="F190" s="18">
        <v>1.0</v>
      </c>
      <c r="G190" s="19">
        <v>0.0</v>
      </c>
      <c r="H190" s="6">
        <f>E190*PV_SESSION+F190*PV_CHALLENGE+G190*PV_WIN</f>
        <v>20</v>
      </c>
    </row>
    <row r="191" ht="15.75" customHeight="1">
      <c r="A191" s="7" t="s">
        <v>253</v>
      </c>
      <c r="B191" s="7" t="s">
        <v>254</v>
      </c>
      <c r="C191" s="7" t="s">
        <v>465</v>
      </c>
      <c r="D191" s="7" t="s">
        <v>281</v>
      </c>
      <c r="E191" s="19">
        <v>0.0</v>
      </c>
      <c r="F191" s="19">
        <v>0.0</v>
      </c>
      <c r="G191" s="19">
        <v>0.0</v>
      </c>
      <c r="H191" s="6">
        <f>E191*PV_SESSION+F191*PV_CHALLENGE+G191*PV_WIN</f>
        <v>0</v>
      </c>
    </row>
    <row r="192" ht="15.75" customHeight="1">
      <c r="A192" s="7" t="s">
        <v>253</v>
      </c>
      <c r="B192" s="7" t="s">
        <v>254</v>
      </c>
      <c r="C192" s="7" t="s">
        <v>466</v>
      </c>
      <c r="D192" s="7" t="s">
        <v>281</v>
      </c>
      <c r="E192" s="19">
        <v>0.0</v>
      </c>
      <c r="F192" s="19">
        <v>0.0</v>
      </c>
      <c r="G192" s="19">
        <v>0.0</v>
      </c>
      <c r="H192" s="6">
        <f>E192*PV_SESSION+F192*PV_CHALLENGE+G192*PV_WIN</f>
        <v>0</v>
      </c>
    </row>
    <row r="193" ht="15.75" customHeight="1">
      <c r="A193" s="7" t="s">
        <v>256</v>
      </c>
      <c r="B193" s="7" t="s">
        <v>257</v>
      </c>
      <c r="C193" s="7" t="s">
        <v>467</v>
      </c>
      <c r="D193" s="7" t="s">
        <v>279</v>
      </c>
      <c r="E193" s="19">
        <v>0.0</v>
      </c>
      <c r="F193" s="19">
        <v>0.0</v>
      </c>
      <c r="G193" s="19">
        <v>0.0</v>
      </c>
      <c r="H193" s="6">
        <f>E193*PV_SESSION+F193*PV_CHALLENGE+G193*PV_WIN</f>
        <v>0</v>
      </c>
    </row>
    <row r="194" ht="15.75" customHeight="1">
      <c r="A194" s="7" t="s">
        <v>256</v>
      </c>
      <c r="B194" s="7" t="s">
        <v>257</v>
      </c>
      <c r="C194" s="7" t="s">
        <v>468</v>
      </c>
      <c r="D194" s="7" t="s">
        <v>281</v>
      </c>
      <c r="E194" s="19">
        <v>0.0</v>
      </c>
      <c r="F194" s="19">
        <v>0.0</v>
      </c>
      <c r="G194" s="19">
        <v>0.0</v>
      </c>
      <c r="H194" s="6">
        <f>E194*PV_SESSION+F194*PV_CHALLENGE+G194*PV_WIN</f>
        <v>0</v>
      </c>
    </row>
    <row r="195" ht="15.75" customHeight="1">
      <c r="A195" s="7" t="s">
        <v>258</v>
      </c>
      <c r="B195" s="7" t="s">
        <v>259</v>
      </c>
      <c r="C195" s="7" t="s">
        <v>469</v>
      </c>
      <c r="D195" s="7" t="s">
        <v>279</v>
      </c>
      <c r="E195" s="19">
        <v>0.0</v>
      </c>
      <c r="F195" s="19">
        <v>0.0</v>
      </c>
      <c r="G195" s="19">
        <v>0.0</v>
      </c>
      <c r="H195" s="6">
        <f>E195*PV_SESSION+F195*PV_CHALLENGE+G195*PV_WIN</f>
        <v>0</v>
      </c>
    </row>
    <row r="196" ht="15.75" customHeight="1">
      <c r="A196" s="7" t="s">
        <v>258</v>
      </c>
      <c r="B196" s="7" t="s">
        <v>259</v>
      </c>
      <c r="C196" s="7" t="s">
        <v>470</v>
      </c>
      <c r="D196" s="7" t="s">
        <v>281</v>
      </c>
      <c r="E196" s="19">
        <v>0.0</v>
      </c>
      <c r="F196" s="19">
        <v>0.0</v>
      </c>
      <c r="G196" s="19">
        <v>0.0</v>
      </c>
      <c r="H196" s="6">
        <f>E196*PV_SESSION+F196*PV_CHALLENGE+G196*PV_WIN</f>
        <v>0</v>
      </c>
    </row>
    <row r="197" ht="15.75" customHeight="1">
      <c r="A197" s="7" t="s">
        <v>258</v>
      </c>
      <c r="B197" s="7" t="s">
        <v>259</v>
      </c>
      <c r="C197" s="7" t="s">
        <v>471</v>
      </c>
      <c r="D197" s="7" t="s">
        <v>281</v>
      </c>
      <c r="E197" s="19">
        <v>0.0</v>
      </c>
      <c r="F197" s="19">
        <v>0.0</v>
      </c>
      <c r="G197" s="19">
        <v>0.0</v>
      </c>
      <c r="H197" s="6">
        <f>E197*PV_SESSION+F197*PV_CHALLENGE+G197*PV_WIN</f>
        <v>0</v>
      </c>
    </row>
    <row r="198" ht="15.75" customHeight="1">
      <c r="A198" s="7" t="s">
        <v>258</v>
      </c>
      <c r="B198" s="7" t="s">
        <v>259</v>
      </c>
      <c r="C198" s="7" t="s">
        <v>472</v>
      </c>
      <c r="D198" s="7" t="s">
        <v>281</v>
      </c>
      <c r="E198" s="19">
        <v>0.0</v>
      </c>
      <c r="F198" s="19">
        <v>0.0</v>
      </c>
      <c r="G198" s="19">
        <v>0.0</v>
      </c>
      <c r="H198" s="6">
        <f>E198*PV_SESSION+F198*PV_CHALLENGE+G198*PV_WIN</f>
        <v>0</v>
      </c>
    </row>
    <row r="199" ht="15.75" customHeight="1">
      <c r="A199" s="7" t="s">
        <v>260</v>
      </c>
      <c r="B199" s="7" t="s">
        <v>261</v>
      </c>
      <c r="C199" s="7" t="s">
        <v>473</v>
      </c>
      <c r="D199" s="7" t="s">
        <v>279</v>
      </c>
      <c r="E199" s="19">
        <v>0.0</v>
      </c>
      <c r="F199" s="19">
        <v>0.0</v>
      </c>
      <c r="G199" s="19">
        <v>0.0</v>
      </c>
      <c r="H199" s="6">
        <f>E199*PV_SESSION+F199*PV_CHALLENGE+G199*PV_WIN</f>
        <v>0</v>
      </c>
    </row>
    <row r="200" ht="15.75" customHeight="1">
      <c r="A200" s="7" t="s">
        <v>260</v>
      </c>
      <c r="B200" s="7" t="s">
        <v>261</v>
      </c>
      <c r="C200" s="7" t="s">
        <v>474</v>
      </c>
      <c r="D200" s="7" t="s">
        <v>281</v>
      </c>
      <c r="E200" s="19">
        <v>0.0</v>
      </c>
      <c r="F200" s="19">
        <v>0.0</v>
      </c>
      <c r="G200" s="19">
        <v>0.0</v>
      </c>
      <c r="H200" s="6">
        <f>E200*PV_SESSION+F200*PV_CHALLENGE+G200*PV_WIN</f>
        <v>0</v>
      </c>
    </row>
    <row r="201" ht="15.75" customHeight="1">
      <c r="A201" s="7" t="s">
        <v>262</v>
      </c>
      <c r="B201" s="7" t="s">
        <v>263</v>
      </c>
      <c r="C201" s="7" t="s">
        <v>475</v>
      </c>
      <c r="D201" s="7" t="s">
        <v>279</v>
      </c>
      <c r="E201" s="19">
        <v>0.0</v>
      </c>
      <c r="F201" s="19">
        <v>0.0</v>
      </c>
      <c r="G201" s="19">
        <v>0.0</v>
      </c>
      <c r="H201" s="6">
        <f>E201*PV_SESSION+F201*PV_CHALLENGE+G201*PV_WIN</f>
        <v>0</v>
      </c>
    </row>
    <row r="202" ht="15.75" customHeight="1">
      <c r="A202" s="7" t="s">
        <v>262</v>
      </c>
      <c r="B202" s="7" t="s">
        <v>263</v>
      </c>
      <c r="C202" s="7" t="s">
        <v>476</v>
      </c>
      <c r="D202" s="7" t="s">
        <v>281</v>
      </c>
      <c r="E202" s="19">
        <v>0.0</v>
      </c>
      <c r="F202" s="19">
        <v>0.0</v>
      </c>
      <c r="G202" s="19">
        <v>0.0</v>
      </c>
      <c r="H202" s="6">
        <f>E202*PV_SESSION+F202*PV_CHALLENGE+G202*PV_WIN</f>
        <v>0</v>
      </c>
    </row>
    <row r="203" ht="15.75" customHeight="1">
      <c r="A203" s="7" t="s">
        <v>262</v>
      </c>
      <c r="B203" s="7" t="s">
        <v>263</v>
      </c>
      <c r="C203" s="7" t="s">
        <v>477</v>
      </c>
      <c r="D203" s="7" t="s">
        <v>281</v>
      </c>
      <c r="E203" s="19">
        <v>0.0</v>
      </c>
      <c r="F203" s="19">
        <v>0.0</v>
      </c>
      <c r="G203" s="19">
        <v>0.0</v>
      </c>
      <c r="H203" s="6">
        <f>E203*PV_SESSION+F203*PV_CHALLENGE+G203*PV_WIN</f>
        <v>0</v>
      </c>
    </row>
    <row r="204" ht="15.75" customHeight="1">
      <c r="A204" s="7" t="s">
        <v>264</v>
      </c>
      <c r="B204" s="7" t="s">
        <v>265</v>
      </c>
      <c r="C204" s="7" t="s">
        <v>478</v>
      </c>
      <c r="D204" s="7" t="s">
        <v>279</v>
      </c>
      <c r="E204" s="19">
        <v>0.0</v>
      </c>
      <c r="F204" s="19">
        <v>0.0</v>
      </c>
      <c r="G204" s="19">
        <v>0.0</v>
      </c>
      <c r="H204" s="6">
        <f>E204*PV_SESSION+F204*PV_CHALLENGE+G204*PV_WIN</f>
        <v>0</v>
      </c>
    </row>
    <row r="205" ht="15.75" customHeight="1">
      <c r="A205" s="7" t="s">
        <v>264</v>
      </c>
      <c r="B205" s="7" t="s">
        <v>265</v>
      </c>
      <c r="C205" s="7" t="s">
        <v>479</v>
      </c>
      <c r="D205" s="7" t="s">
        <v>281</v>
      </c>
      <c r="E205" s="19">
        <v>0.0</v>
      </c>
      <c r="F205" s="19">
        <v>0.0</v>
      </c>
      <c r="G205" s="19">
        <v>0.0</v>
      </c>
      <c r="H205" s="6">
        <f>E205*PV_SESSION+F205*PV_CHALLENGE+G205*PV_WIN</f>
        <v>0</v>
      </c>
    </row>
    <row r="206" ht="15.75" customHeight="1">
      <c r="A206" s="7" t="s">
        <v>266</v>
      </c>
      <c r="B206" s="7" t="s">
        <v>267</v>
      </c>
      <c r="C206" s="7" t="s">
        <v>480</v>
      </c>
      <c r="D206" s="7" t="s">
        <v>279</v>
      </c>
      <c r="E206" s="18">
        <v>2.0</v>
      </c>
      <c r="F206" s="18">
        <v>1.0</v>
      </c>
      <c r="G206" s="19">
        <v>0.0</v>
      </c>
      <c r="H206" s="6">
        <f>E206*PV_SESSION+F206*PV_CHALLENGE+G206*PV_WIN</f>
        <v>30</v>
      </c>
    </row>
    <row r="207" ht="15.75" customHeight="1">
      <c r="A207" s="7" t="s">
        <v>266</v>
      </c>
      <c r="B207" s="7" t="s">
        <v>267</v>
      </c>
      <c r="C207" s="7" t="s">
        <v>481</v>
      </c>
      <c r="D207" s="7" t="s">
        <v>281</v>
      </c>
      <c r="E207" s="19">
        <v>0.0</v>
      </c>
      <c r="F207" s="19">
        <v>0.0</v>
      </c>
      <c r="G207" s="19">
        <v>0.0</v>
      </c>
      <c r="H207" s="6">
        <f>E207*PV_SESSION+F207*PV_CHALLENGE+G207*PV_WIN</f>
        <v>0</v>
      </c>
    </row>
    <row r="208" ht="15.75" customHeight="1">
      <c r="A208" s="7" t="s">
        <v>266</v>
      </c>
      <c r="B208" s="7" t="s">
        <v>267</v>
      </c>
      <c r="C208" s="7" t="s">
        <v>444</v>
      </c>
      <c r="D208" s="7" t="s">
        <v>281</v>
      </c>
      <c r="E208" s="19">
        <v>0.0</v>
      </c>
      <c r="F208" s="19">
        <v>0.0</v>
      </c>
      <c r="G208" s="19">
        <v>0.0</v>
      </c>
      <c r="H208" s="6">
        <f>E208*PV_SESSION+F208*PV_CHALLENGE+G208*PV_WIN</f>
        <v>0</v>
      </c>
    </row>
    <row r="209" ht="15.75" customHeight="1">
      <c r="A209" s="7" t="s">
        <v>266</v>
      </c>
      <c r="B209" s="7" t="s">
        <v>267</v>
      </c>
      <c r="C209" s="7" t="s">
        <v>464</v>
      </c>
      <c r="D209" s="7" t="s">
        <v>281</v>
      </c>
      <c r="E209" s="19">
        <v>0.0</v>
      </c>
      <c r="F209" s="19">
        <v>0.0</v>
      </c>
      <c r="G209" s="19">
        <v>0.0</v>
      </c>
      <c r="H209" s="6">
        <f>E209*PV_SESSION+F209*PV_CHALLENGE+G209*PV_WIN</f>
        <v>0</v>
      </c>
    </row>
    <row r="210" ht="15.75" customHeight="1">
      <c r="A210" s="7" t="s">
        <v>268</v>
      </c>
      <c r="B210" s="7" t="s">
        <v>269</v>
      </c>
      <c r="C210" s="7" t="s">
        <v>482</v>
      </c>
      <c r="D210" s="7" t="s">
        <v>279</v>
      </c>
      <c r="E210" s="19">
        <v>0.0</v>
      </c>
      <c r="F210" s="19">
        <v>0.0</v>
      </c>
      <c r="G210" s="19">
        <v>0.0</v>
      </c>
      <c r="H210" s="6">
        <f>E210*PV_SESSION+F210*PV_CHALLENGE+G210*PV_WIN</f>
        <v>0</v>
      </c>
    </row>
    <row r="211" ht="15.75" customHeight="1">
      <c r="A211" s="7" t="s">
        <v>268</v>
      </c>
      <c r="B211" s="7" t="s">
        <v>269</v>
      </c>
      <c r="C211" s="7" t="s">
        <v>483</v>
      </c>
      <c r="D211" s="7" t="s">
        <v>281</v>
      </c>
      <c r="E211" s="19">
        <v>0.0</v>
      </c>
      <c r="F211" s="19">
        <v>0.0</v>
      </c>
      <c r="G211" s="19">
        <v>0.0</v>
      </c>
      <c r="H211" s="6">
        <f>E211*PV_SESSION+F211*PV_CHALLENGE+G211*PV_WIN</f>
        <v>0</v>
      </c>
    </row>
    <row r="212" ht="15.75" customHeight="1">
      <c r="A212" s="7" t="s">
        <v>270</v>
      </c>
      <c r="B212" s="7" t="s">
        <v>271</v>
      </c>
      <c r="C212" s="7" t="s">
        <v>484</v>
      </c>
      <c r="D212" s="7" t="s">
        <v>279</v>
      </c>
      <c r="E212" s="18">
        <v>2.0</v>
      </c>
      <c r="F212" s="18">
        <v>1.0</v>
      </c>
      <c r="G212" s="19">
        <v>0.0</v>
      </c>
      <c r="H212" s="6">
        <f>E212*PV_SESSION+F212*PV_CHALLENGE+G212*PV_WIN</f>
        <v>30</v>
      </c>
    </row>
    <row r="213" ht="15.75" customHeight="1">
      <c r="A213" s="7" t="s">
        <v>270</v>
      </c>
      <c r="B213" s="7" t="s">
        <v>271</v>
      </c>
      <c r="C213" s="7" t="s">
        <v>485</v>
      </c>
      <c r="D213" s="7" t="s">
        <v>281</v>
      </c>
      <c r="E213" s="18">
        <v>2.0</v>
      </c>
      <c r="F213" s="18">
        <v>1.0</v>
      </c>
      <c r="G213" s="18">
        <v>1.0</v>
      </c>
      <c r="H213" s="6">
        <f>E213*PV_SESSION+F213*PV_CHALLENGE+G213*PV_WIN</f>
        <v>60</v>
      </c>
    </row>
    <row r="214" ht="15.75" customHeight="1">
      <c r="A214" s="7" t="s">
        <v>272</v>
      </c>
      <c r="B214" s="7" t="s">
        <v>273</v>
      </c>
      <c r="C214" s="7" t="s">
        <v>486</v>
      </c>
      <c r="D214" s="7" t="s">
        <v>279</v>
      </c>
      <c r="E214" s="19">
        <v>0.0</v>
      </c>
      <c r="F214" s="19">
        <v>0.0</v>
      </c>
      <c r="G214" s="19">
        <v>0.0</v>
      </c>
      <c r="H214" s="6">
        <f>E214*PV_SESSION+F214*PV_CHALLENGE+G214*PV_WIN</f>
        <v>0</v>
      </c>
    </row>
    <row r="215" ht="15.75" customHeight="1">
      <c r="A215" s="7" t="s">
        <v>272</v>
      </c>
      <c r="B215" s="7" t="s">
        <v>273</v>
      </c>
      <c r="C215" s="7" t="s">
        <v>487</v>
      </c>
      <c r="D215" s="7" t="s">
        <v>281</v>
      </c>
      <c r="E215" s="19">
        <v>0.0</v>
      </c>
      <c r="F215" s="19">
        <v>0.0</v>
      </c>
      <c r="G215" s="19">
        <v>0.0</v>
      </c>
      <c r="H215" s="6">
        <f>E215*PV_SESSION+F215*PV_CHALLENGE+G215*PV_WIN</f>
        <v>0</v>
      </c>
    </row>
    <row r="216" ht="15.75" customHeight="1">
      <c r="A216" s="7" t="s">
        <v>272</v>
      </c>
      <c r="B216" s="7" t="s">
        <v>273</v>
      </c>
      <c r="C216" s="7" t="s">
        <v>488</v>
      </c>
      <c r="D216" s="7" t="s">
        <v>281</v>
      </c>
      <c r="E216" s="19">
        <v>0.0</v>
      </c>
      <c r="F216" s="19">
        <v>0.0</v>
      </c>
      <c r="G216" s="19">
        <v>0.0</v>
      </c>
      <c r="H216" s="6">
        <f>E216*PV_SESSION+F216*PV_CHALLENGE+G216*PV_WIN</f>
        <v>0</v>
      </c>
    </row>
    <row r="217" ht="15.75" customHeight="1">
      <c r="A217" s="7" t="s">
        <v>272</v>
      </c>
      <c r="B217" s="7" t="s">
        <v>273</v>
      </c>
      <c r="C217" s="7" t="s">
        <v>489</v>
      </c>
      <c r="D217" s="7" t="s">
        <v>281</v>
      </c>
      <c r="E217" s="19">
        <v>0.0</v>
      </c>
      <c r="F217" s="19">
        <v>0.0</v>
      </c>
      <c r="G217" s="19">
        <v>0.0</v>
      </c>
      <c r="H217" s="6">
        <f>E217*PV_SESSION+F217*PV_CHALLENGE+G217*PV_WIN</f>
        <v>0</v>
      </c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24.0"/>
    <col customWidth="1" min="4" max="4" width="14.0"/>
    <col customWidth="1" min="5" max="5" width="16.0"/>
    <col customWidth="1" min="6" max="6" width="22.0"/>
    <col customWidth="1" min="7" max="7" width="18.0"/>
    <col customWidth="1" min="8" max="8" width="16.0"/>
    <col customWidth="1" min="9" max="26" width="8.71"/>
  </cols>
  <sheetData>
    <row r="1">
      <c r="A1" s="3" t="s">
        <v>69</v>
      </c>
      <c r="B1" s="3" t="s">
        <v>70</v>
      </c>
      <c r="C1" s="3" t="s">
        <v>276</v>
      </c>
      <c r="D1" s="3" t="s">
        <v>277</v>
      </c>
      <c r="E1" s="3" t="s">
        <v>490</v>
      </c>
      <c r="F1" s="3" t="s">
        <v>491</v>
      </c>
      <c r="G1" s="3" t="s">
        <v>492</v>
      </c>
      <c r="H1" s="3" t="s">
        <v>493</v>
      </c>
    </row>
    <row r="2">
      <c r="A2" s="7" t="s">
        <v>79</v>
      </c>
      <c r="B2" s="7" t="s">
        <v>80</v>
      </c>
      <c r="C2" s="7" t="s">
        <v>278</v>
      </c>
      <c r="D2" s="7" t="s">
        <v>279</v>
      </c>
      <c r="E2" s="19">
        <v>0.0</v>
      </c>
      <c r="F2" s="19">
        <v>0.0</v>
      </c>
      <c r="G2" s="19">
        <v>0.0</v>
      </c>
      <c r="H2" s="6">
        <f>E2*PV_SESSION+F2*PV_CHALLENGE+G2*PV_WIN</f>
        <v>0</v>
      </c>
    </row>
    <row r="3">
      <c r="A3" s="7" t="s">
        <v>79</v>
      </c>
      <c r="B3" s="7" t="s">
        <v>80</v>
      </c>
      <c r="C3" s="7" t="s">
        <v>280</v>
      </c>
      <c r="D3" s="7" t="s">
        <v>281</v>
      </c>
      <c r="E3" s="19">
        <v>0.0</v>
      </c>
      <c r="F3" s="19">
        <v>0.0</v>
      </c>
      <c r="G3" s="19">
        <v>0.0</v>
      </c>
      <c r="H3" s="6">
        <f>E3*PV_SESSION+F3*PV_CHALLENGE+G3*PV_WIN</f>
        <v>0</v>
      </c>
    </row>
    <row r="4">
      <c r="A4" s="7" t="s">
        <v>79</v>
      </c>
      <c r="B4" s="7" t="s">
        <v>80</v>
      </c>
      <c r="C4" s="7" t="s">
        <v>282</v>
      </c>
      <c r="D4" s="7" t="s">
        <v>281</v>
      </c>
      <c r="E4" s="19">
        <v>0.0</v>
      </c>
      <c r="F4" s="19">
        <v>0.0</v>
      </c>
      <c r="G4" s="19">
        <v>0.0</v>
      </c>
      <c r="H4" s="6">
        <f>E4*PV_SESSION+F4*PV_CHALLENGE+G4*PV_WIN</f>
        <v>0</v>
      </c>
    </row>
    <row r="5">
      <c r="A5" s="7" t="s">
        <v>79</v>
      </c>
      <c r="B5" s="7" t="s">
        <v>80</v>
      </c>
      <c r="C5" s="7" t="s">
        <v>283</v>
      </c>
      <c r="D5" s="7" t="s">
        <v>281</v>
      </c>
      <c r="E5" s="19">
        <v>0.0</v>
      </c>
      <c r="F5" s="19">
        <v>0.0</v>
      </c>
      <c r="G5" s="19">
        <v>0.0</v>
      </c>
      <c r="H5" s="6">
        <f>E5*PV_SESSION+F5*PV_CHALLENGE+G5*PV_WIN</f>
        <v>0</v>
      </c>
    </row>
    <row r="6">
      <c r="A6" s="7" t="s">
        <v>82</v>
      </c>
      <c r="B6" s="7" t="s">
        <v>83</v>
      </c>
      <c r="C6" s="7" t="s">
        <v>284</v>
      </c>
      <c r="D6" s="7" t="s">
        <v>279</v>
      </c>
      <c r="E6" s="19">
        <v>0.0</v>
      </c>
      <c r="F6" s="19">
        <v>0.0</v>
      </c>
      <c r="G6" s="19">
        <v>0.0</v>
      </c>
      <c r="H6" s="6">
        <f>E6*PV_SESSION+F6*PV_CHALLENGE+G6*PV_WIN</f>
        <v>0</v>
      </c>
    </row>
    <row r="7">
      <c r="A7" s="7" t="s">
        <v>82</v>
      </c>
      <c r="B7" s="7" t="s">
        <v>83</v>
      </c>
      <c r="C7" s="7" t="s">
        <v>285</v>
      </c>
      <c r="D7" s="7" t="s">
        <v>281</v>
      </c>
      <c r="E7" s="19">
        <v>0.0</v>
      </c>
      <c r="F7" s="19">
        <v>0.0</v>
      </c>
      <c r="G7" s="19">
        <v>0.0</v>
      </c>
      <c r="H7" s="6">
        <f>E7*PV_SESSION+F7*PV_CHALLENGE+G7*PV_WIN</f>
        <v>0</v>
      </c>
    </row>
    <row r="8">
      <c r="A8" s="7" t="s">
        <v>84</v>
      </c>
      <c r="B8" s="7" t="s">
        <v>85</v>
      </c>
      <c r="C8" s="7" t="s">
        <v>286</v>
      </c>
      <c r="D8" s="7" t="s">
        <v>279</v>
      </c>
      <c r="E8" s="19">
        <v>0.0</v>
      </c>
      <c r="F8" s="19">
        <v>0.0</v>
      </c>
      <c r="G8" s="19">
        <v>0.0</v>
      </c>
      <c r="H8" s="6">
        <f>E8*PV_SESSION+F8*PV_CHALLENGE+G8*PV_WIN</f>
        <v>0</v>
      </c>
    </row>
    <row r="9">
      <c r="A9" s="7" t="s">
        <v>84</v>
      </c>
      <c r="B9" s="7" t="s">
        <v>85</v>
      </c>
      <c r="C9" s="7" t="s">
        <v>287</v>
      </c>
      <c r="D9" s="7" t="s">
        <v>281</v>
      </c>
      <c r="E9" s="19">
        <v>0.0</v>
      </c>
      <c r="F9" s="19">
        <v>0.0</v>
      </c>
      <c r="G9" s="19">
        <v>0.0</v>
      </c>
      <c r="H9" s="6">
        <f>E9*PV_SESSION+F9*PV_CHALLENGE+G9*PV_WIN</f>
        <v>0</v>
      </c>
    </row>
    <row r="10">
      <c r="A10" s="7" t="s">
        <v>87</v>
      </c>
      <c r="B10" s="7" t="s">
        <v>88</v>
      </c>
      <c r="C10" s="7" t="s">
        <v>288</v>
      </c>
      <c r="D10" s="7" t="s">
        <v>279</v>
      </c>
      <c r="E10" s="19">
        <v>0.0</v>
      </c>
      <c r="F10" s="19">
        <v>0.0</v>
      </c>
      <c r="G10" s="19">
        <v>0.0</v>
      </c>
      <c r="H10" s="6">
        <f>E10*PV_SESSION+F10*PV_CHALLENGE+G10*PV_WIN</f>
        <v>0</v>
      </c>
    </row>
    <row r="11">
      <c r="A11" s="7" t="s">
        <v>87</v>
      </c>
      <c r="B11" s="7" t="s">
        <v>88</v>
      </c>
      <c r="C11" s="7" t="s">
        <v>289</v>
      </c>
      <c r="D11" s="7" t="s">
        <v>281</v>
      </c>
      <c r="E11" s="19">
        <v>0.0</v>
      </c>
      <c r="F11" s="19">
        <v>0.0</v>
      </c>
      <c r="G11" s="19">
        <v>0.0</v>
      </c>
      <c r="H11" s="6">
        <f>E11*PV_SESSION+F11*PV_CHALLENGE+G11*PV_WIN</f>
        <v>0</v>
      </c>
    </row>
    <row r="12">
      <c r="A12" s="7" t="s">
        <v>89</v>
      </c>
      <c r="B12" s="7" t="s">
        <v>90</v>
      </c>
      <c r="C12" s="7" t="s">
        <v>290</v>
      </c>
      <c r="D12" s="7" t="s">
        <v>279</v>
      </c>
      <c r="E12" s="19">
        <v>0.0</v>
      </c>
      <c r="F12" s="19">
        <v>0.0</v>
      </c>
      <c r="G12" s="19">
        <v>0.0</v>
      </c>
      <c r="H12" s="6">
        <f>E12*PV_SESSION+F12*PV_CHALLENGE+G12*PV_WIN</f>
        <v>0</v>
      </c>
    </row>
    <row r="13">
      <c r="A13" s="7" t="s">
        <v>89</v>
      </c>
      <c r="B13" s="7" t="s">
        <v>90</v>
      </c>
      <c r="C13" s="7" t="s">
        <v>291</v>
      </c>
      <c r="D13" s="7" t="s">
        <v>281</v>
      </c>
      <c r="E13" s="19">
        <v>0.0</v>
      </c>
      <c r="F13" s="19">
        <v>0.0</v>
      </c>
      <c r="G13" s="19">
        <v>0.0</v>
      </c>
      <c r="H13" s="6">
        <f>E13*PV_SESSION+F13*PV_CHALLENGE+G13*PV_WIN</f>
        <v>0</v>
      </c>
    </row>
    <row r="14">
      <c r="A14" s="7" t="s">
        <v>91</v>
      </c>
      <c r="B14" s="7" t="s">
        <v>92</v>
      </c>
      <c r="C14" s="7" t="s">
        <v>292</v>
      </c>
      <c r="D14" s="7" t="s">
        <v>279</v>
      </c>
      <c r="E14" s="19">
        <v>0.0</v>
      </c>
      <c r="F14" s="19">
        <v>0.0</v>
      </c>
      <c r="G14" s="19">
        <v>0.0</v>
      </c>
      <c r="H14" s="6">
        <f>E14*PV_SESSION+F14*PV_CHALLENGE+G14*PV_WIN</f>
        <v>0</v>
      </c>
    </row>
    <row r="15">
      <c r="A15" s="7" t="s">
        <v>91</v>
      </c>
      <c r="B15" s="7" t="s">
        <v>92</v>
      </c>
      <c r="C15" s="7" t="s">
        <v>293</v>
      </c>
      <c r="D15" s="7" t="s">
        <v>281</v>
      </c>
      <c r="E15" s="19">
        <v>0.0</v>
      </c>
      <c r="F15" s="19">
        <v>0.0</v>
      </c>
      <c r="G15" s="19">
        <v>0.0</v>
      </c>
      <c r="H15" s="6">
        <f>E15*PV_SESSION+F15*PV_CHALLENGE+G15*PV_WIN</f>
        <v>0</v>
      </c>
    </row>
    <row r="16">
      <c r="A16" s="7" t="s">
        <v>93</v>
      </c>
      <c r="B16" s="7" t="s">
        <v>94</v>
      </c>
      <c r="C16" s="7" t="s">
        <v>294</v>
      </c>
      <c r="D16" s="7" t="s">
        <v>279</v>
      </c>
      <c r="E16" s="19">
        <v>0.0</v>
      </c>
      <c r="F16" s="19">
        <v>0.0</v>
      </c>
      <c r="G16" s="19">
        <v>0.0</v>
      </c>
      <c r="H16" s="6">
        <f>E16*PV_SESSION+F16*PV_CHALLENGE+G16*PV_WIN</f>
        <v>0</v>
      </c>
    </row>
    <row r="17">
      <c r="A17" s="7" t="s">
        <v>93</v>
      </c>
      <c r="B17" s="7" t="s">
        <v>94</v>
      </c>
      <c r="C17" s="7" t="s">
        <v>295</v>
      </c>
      <c r="D17" s="7" t="s">
        <v>281</v>
      </c>
      <c r="E17" s="19">
        <v>0.0</v>
      </c>
      <c r="F17" s="19">
        <v>0.0</v>
      </c>
      <c r="G17" s="19">
        <v>0.0</v>
      </c>
      <c r="H17" s="6">
        <f>E17*PV_SESSION+F17*PV_CHALLENGE+G17*PV_WIN</f>
        <v>0</v>
      </c>
    </row>
    <row r="18">
      <c r="A18" s="7" t="s">
        <v>93</v>
      </c>
      <c r="B18" s="7" t="s">
        <v>94</v>
      </c>
      <c r="C18" s="7" t="s">
        <v>296</v>
      </c>
      <c r="D18" s="7" t="s">
        <v>281</v>
      </c>
      <c r="E18" s="19">
        <v>0.0</v>
      </c>
      <c r="F18" s="19">
        <v>0.0</v>
      </c>
      <c r="G18" s="19">
        <v>0.0</v>
      </c>
      <c r="H18" s="6">
        <f>E18*PV_SESSION+F18*PV_CHALLENGE+G18*PV_WIN</f>
        <v>0</v>
      </c>
    </row>
    <row r="19">
      <c r="A19" s="7" t="s">
        <v>93</v>
      </c>
      <c r="B19" s="7" t="s">
        <v>94</v>
      </c>
      <c r="C19" s="7" t="s">
        <v>297</v>
      </c>
      <c r="D19" s="7" t="s">
        <v>281</v>
      </c>
      <c r="E19" s="19">
        <v>0.0</v>
      </c>
      <c r="F19" s="19">
        <v>0.0</v>
      </c>
      <c r="G19" s="19">
        <v>0.0</v>
      </c>
      <c r="H19" s="6">
        <f>E19*PV_SESSION+F19*PV_CHALLENGE+G19*PV_WIN</f>
        <v>0</v>
      </c>
    </row>
    <row r="20">
      <c r="A20" s="7" t="s">
        <v>96</v>
      </c>
      <c r="B20" s="7" t="s">
        <v>97</v>
      </c>
      <c r="C20" s="7" t="s">
        <v>298</v>
      </c>
      <c r="D20" s="7" t="s">
        <v>279</v>
      </c>
      <c r="E20" s="19">
        <v>0.0</v>
      </c>
      <c r="F20" s="19">
        <v>0.0</v>
      </c>
      <c r="G20" s="19">
        <v>0.0</v>
      </c>
      <c r="H20" s="6">
        <f>E20*PV_SESSION+F20*PV_CHALLENGE+G20*PV_WIN</f>
        <v>0</v>
      </c>
    </row>
    <row r="21" ht="15.75" customHeight="1">
      <c r="A21" s="7" t="s">
        <v>96</v>
      </c>
      <c r="B21" s="7" t="s">
        <v>97</v>
      </c>
      <c r="C21" s="7" t="s">
        <v>299</v>
      </c>
      <c r="D21" s="7" t="s">
        <v>281</v>
      </c>
      <c r="E21" s="19">
        <v>0.0</v>
      </c>
      <c r="F21" s="19">
        <v>0.0</v>
      </c>
      <c r="G21" s="19">
        <v>0.0</v>
      </c>
      <c r="H21" s="6">
        <f>E21*PV_SESSION+F21*PV_CHALLENGE+G21*PV_WIN</f>
        <v>0</v>
      </c>
    </row>
    <row r="22" ht="15.75" customHeight="1">
      <c r="A22" s="7" t="s">
        <v>96</v>
      </c>
      <c r="B22" s="7" t="s">
        <v>97</v>
      </c>
      <c r="C22" s="7" t="s">
        <v>300</v>
      </c>
      <c r="D22" s="7" t="s">
        <v>281</v>
      </c>
      <c r="E22" s="19">
        <v>0.0</v>
      </c>
      <c r="F22" s="19">
        <v>0.0</v>
      </c>
      <c r="G22" s="19">
        <v>0.0</v>
      </c>
      <c r="H22" s="6">
        <f>E22*PV_SESSION+F22*PV_CHALLENGE+G22*PV_WIN</f>
        <v>0</v>
      </c>
    </row>
    <row r="23" ht="15.75" customHeight="1">
      <c r="A23" s="7" t="s">
        <v>98</v>
      </c>
      <c r="B23" s="7" t="s">
        <v>99</v>
      </c>
      <c r="C23" s="7" t="s">
        <v>301</v>
      </c>
      <c r="D23" s="7" t="s">
        <v>279</v>
      </c>
      <c r="E23" s="19">
        <v>0.0</v>
      </c>
      <c r="F23" s="19">
        <v>0.0</v>
      </c>
      <c r="G23" s="19">
        <v>0.0</v>
      </c>
      <c r="H23" s="6">
        <f>E23*PV_SESSION+F23*PV_CHALLENGE+G23*PV_WIN</f>
        <v>0</v>
      </c>
    </row>
    <row r="24" ht="15.75" customHeight="1">
      <c r="A24" s="7" t="s">
        <v>98</v>
      </c>
      <c r="B24" s="7" t="s">
        <v>99</v>
      </c>
      <c r="C24" s="7" t="s">
        <v>302</v>
      </c>
      <c r="D24" s="7" t="s">
        <v>281</v>
      </c>
      <c r="E24" s="19">
        <v>0.0</v>
      </c>
      <c r="F24" s="19">
        <v>0.0</v>
      </c>
      <c r="G24" s="19">
        <v>0.0</v>
      </c>
      <c r="H24" s="6">
        <f>E24*PV_SESSION+F24*PV_CHALLENGE+G24*PV_WIN</f>
        <v>0</v>
      </c>
    </row>
    <row r="25" ht="15.75" customHeight="1">
      <c r="A25" s="7" t="s">
        <v>100</v>
      </c>
      <c r="B25" s="7" t="s">
        <v>101</v>
      </c>
      <c r="C25" s="7" t="s">
        <v>303</v>
      </c>
      <c r="D25" s="7" t="s">
        <v>279</v>
      </c>
      <c r="E25" s="19">
        <v>0.0</v>
      </c>
      <c r="F25" s="19">
        <v>0.0</v>
      </c>
      <c r="G25" s="19">
        <v>0.0</v>
      </c>
      <c r="H25" s="6">
        <f>E25*PV_SESSION+F25*PV_CHALLENGE+G25*PV_WIN</f>
        <v>0</v>
      </c>
    </row>
    <row r="26" ht="15.75" customHeight="1">
      <c r="A26" s="7" t="s">
        <v>100</v>
      </c>
      <c r="B26" s="7" t="s">
        <v>101</v>
      </c>
      <c r="C26" s="7" t="s">
        <v>304</v>
      </c>
      <c r="D26" s="7" t="s">
        <v>281</v>
      </c>
      <c r="E26" s="19">
        <v>0.0</v>
      </c>
      <c r="F26" s="19">
        <v>0.0</v>
      </c>
      <c r="G26" s="19">
        <v>0.0</v>
      </c>
      <c r="H26" s="6">
        <f>E26*PV_SESSION+F26*PV_CHALLENGE+G26*PV_WIN</f>
        <v>0</v>
      </c>
    </row>
    <row r="27" ht="15.75" customHeight="1">
      <c r="A27" s="7" t="s">
        <v>100</v>
      </c>
      <c r="B27" s="7" t="s">
        <v>101</v>
      </c>
      <c r="C27" s="7" t="s">
        <v>305</v>
      </c>
      <c r="D27" s="7" t="s">
        <v>281</v>
      </c>
      <c r="E27" s="19">
        <v>0.0</v>
      </c>
      <c r="F27" s="19">
        <v>0.0</v>
      </c>
      <c r="G27" s="19">
        <v>0.0</v>
      </c>
      <c r="H27" s="6">
        <f>E27*PV_SESSION+F27*PV_CHALLENGE+G27*PV_WIN</f>
        <v>0</v>
      </c>
    </row>
    <row r="28" ht="15.75" customHeight="1">
      <c r="A28" s="7" t="s">
        <v>100</v>
      </c>
      <c r="B28" s="7" t="s">
        <v>101</v>
      </c>
      <c r="C28" s="7" t="s">
        <v>306</v>
      </c>
      <c r="D28" s="7" t="s">
        <v>281</v>
      </c>
      <c r="E28" s="19">
        <v>0.0</v>
      </c>
      <c r="F28" s="19">
        <v>0.0</v>
      </c>
      <c r="G28" s="19">
        <v>0.0</v>
      </c>
      <c r="H28" s="6">
        <f>E28*PV_SESSION+F28*PV_CHALLENGE+G28*PV_WIN</f>
        <v>0</v>
      </c>
    </row>
    <row r="29" ht="15.75" customHeight="1">
      <c r="A29" s="7" t="s">
        <v>102</v>
      </c>
      <c r="B29" s="7" t="s">
        <v>103</v>
      </c>
      <c r="C29" s="7" t="s">
        <v>307</v>
      </c>
      <c r="D29" s="7" t="s">
        <v>279</v>
      </c>
      <c r="E29" s="19">
        <v>0.0</v>
      </c>
      <c r="F29" s="19">
        <v>0.0</v>
      </c>
      <c r="G29" s="19">
        <v>0.0</v>
      </c>
      <c r="H29" s="6">
        <f>E29*PV_SESSION+F29*PV_CHALLENGE+G29*PV_WIN</f>
        <v>0</v>
      </c>
    </row>
    <row r="30" ht="15.75" customHeight="1">
      <c r="A30" s="7" t="s">
        <v>102</v>
      </c>
      <c r="B30" s="7" t="s">
        <v>103</v>
      </c>
      <c r="C30" s="7" t="s">
        <v>308</v>
      </c>
      <c r="D30" s="7" t="s">
        <v>281</v>
      </c>
      <c r="E30" s="19">
        <v>0.0</v>
      </c>
      <c r="F30" s="19">
        <v>0.0</v>
      </c>
      <c r="G30" s="19">
        <v>0.0</v>
      </c>
      <c r="H30" s="6">
        <f>E30*PV_SESSION+F30*PV_CHALLENGE+G30*PV_WIN</f>
        <v>0</v>
      </c>
    </row>
    <row r="31" ht="15.75" customHeight="1">
      <c r="A31" s="7" t="s">
        <v>102</v>
      </c>
      <c r="B31" s="7" t="s">
        <v>103</v>
      </c>
      <c r="C31" s="7" t="s">
        <v>309</v>
      </c>
      <c r="D31" s="7" t="s">
        <v>281</v>
      </c>
      <c r="E31" s="19">
        <v>0.0</v>
      </c>
      <c r="F31" s="19">
        <v>0.0</v>
      </c>
      <c r="G31" s="19">
        <v>0.0</v>
      </c>
      <c r="H31" s="6">
        <f>E31*PV_SESSION+F31*PV_CHALLENGE+G31*PV_WIN</f>
        <v>0</v>
      </c>
    </row>
    <row r="32" ht="15.75" customHeight="1">
      <c r="A32" s="7" t="s">
        <v>102</v>
      </c>
      <c r="B32" s="7" t="s">
        <v>103</v>
      </c>
      <c r="C32" s="7" t="s">
        <v>310</v>
      </c>
      <c r="D32" s="7" t="s">
        <v>281</v>
      </c>
      <c r="E32" s="19">
        <v>0.0</v>
      </c>
      <c r="F32" s="19">
        <v>0.0</v>
      </c>
      <c r="G32" s="19">
        <v>0.0</v>
      </c>
      <c r="H32" s="6">
        <f>E32*PV_SESSION+F32*PV_CHALLENGE+G32*PV_WIN</f>
        <v>0</v>
      </c>
    </row>
    <row r="33" ht="15.75" customHeight="1">
      <c r="A33" s="7" t="s">
        <v>104</v>
      </c>
      <c r="B33" s="7" t="s">
        <v>105</v>
      </c>
      <c r="C33" s="7" t="s">
        <v>311</v>
      </c>
      <c r="D33" s="7" t="s">
        <v>279</v>
      </c>
      <c r="E33" s="19">
        <v>0.0</v>
      </c>
      <c r="F33" s="19">
        <v>0.0</v>
      </c>
      <c r="G33" s="19">
        <v>0.0</v>
      </c>
      <c r="H33" s="6">
        <f>E33*PV_SESSION+F33*PV_CHALLENGE+G33*PV_WIN</f>
        <v>0</v>
      </c>
    </row>
    <row r="34" ht="15.75" customHeight="1">
      <c r="A34" s="7" t="s">
        <v>104</v>
      </c>
      <c r="B34" s="7" t="s">
        <v>105</v>
      </c>
      <c r="C34" s="7" t="s">
        <v>312</v>
      </c>
      <c r="D34" s="7" t="s">
        <v>281</v>
      </c>
      <c r="E34" s="19">
        <v>0.0</v>
      </c>
      <c r="F34" s="19">
        <v>0.0</v>
      </c>
      <c r="G34" s="19">
        <v>0.0</v>
      </c>
      <c r="H34" s="6">
        <f>E34*PV_SESSION+F34*PV_CHALLENGE+G34*PV_WIN</f>
        <v>0</v>
      </c>
    </row>
    <row r="35" ht="15.75" customHeight="1">
      <c r="A35" s="7" t="s">
        <v>106</v>
      </c>
      <c r="B35" s="7" t="s">
        <v>107</v>
      </c>
      <c r="C35" s="7" t="s">
        <v>313</v>
      </c>
      <c r="D35" s="7" t="s">
        <v>279</v>
      </c>
      <c r="E35" s="19">
        <v>0.0</v>
      </c>
      <c r="F35" s="19">
        <v>0.0</v>
      </c>
      <c r="G35" s="19">
        <v>0.0</v>
      </c>
      <c r="H35" s="6">
        <f>E35*PV_SESSION+F35*PV_CHALLENGE+G35*PV_WIN</f>
        <v>0</v>
      </c>
    </row>
    <row r="36" ht="15.75" customHeight="1">
      <c r="A36" s="7" t="s">
        <v>106</v>
      </c>
      <c r="B36" s="7" t="s">
        <v>107</v>
      </c>
      <c r="C36" s="7" t="s">
        <v>314</v>
      </c>
      <c r="D36" s="7" t="s">
        <v>281</v>
      </c>
      <c r="E36" s="19">
        <v>0.0</v>
      </c>
      <c r="F36" s="19">
        <v>0.0</v>
      </c>
      <c r="G36" s="19">
        <v>0.0</v>
      </c>
      <c r="H36" s="6">
        <f>E36*PV_SESSION+F36*PV_CHALLENGE+G36*PV_WIN</f>
        <v>0</v>
      </c>
    </row>
    <row r="37" ht="15.75" customHeight="1">
      <c r="A37" s="7" t="s">
        <v>106</v>
      </c>
      <c r="B37" s="7" t="s">
        <v>107</v>
      </c>
      <c r="C37" s="7" t="s">
        <v>315</v>
      </c>
      <c r="D37" s="7" t="s">
        <v>281</v>
      </c>
      <c r="E37" s="19">
        <v>0.0</v>
      </c>
      <c r="F37" s="19">
        <v>0.0</v>
      </c>
      <c r="G37" s="19">
        <v>0.0</v>
      </c>
      <c r="H37" s="6">
        <f>E37*PV_SESSION+F37*PV_CHALLENGE+G37*PV_WIN</f>
        <v>0</v>
      </c>
    </row>
    <row r="38" ht="15.75" customHeight="1">
      <c r="A38" s="7" t="s">
        <v>108</v>
      </c>
      <c r="B38" s="7" t="s">
        <v>109</v>
      </c>
      <c r="C38" s="7" t="s">
        <v>316</v>
      </c>
      <c r="D38" s="7" t="s">
        <v>279</v>
      </c>
      <c r="E38" s="19">
        <v>0.0</v>
      </c>
      <c r="F38" s="19">
        <v>0.0</v>
      </c>
      <c r="G38" s="19">
        <v>0.0</v>
      </c>
      <c r="H38" s="6">
        <f>E38*PV_SESSION+F38*PV_CHALLENGE+G38*PV_WIN</f>
        <v>0</v>
      </c>
    </row>
    <row r="39" ht="15.75" customHeight="1">
      <c r="A39" s="7" t="s">
        <v>108</v>
      </c>
      <c r="B39" s="7" t="s">
        <v>109</v>
      </c>
      <c r="C39" s="7" t="s">
        <v>317</v>
      </c>
      <c r="D39" s="7" t="s">
        <v>281</v>
      </c>
      <c r="E39" s="19">
        <v>0.0</v>
      </c>
      <c r="F39" s="19">
        <v>0.0</v>
      </c>
      <c r="G39" s="19">
        <v>0.0</v>
      </c>
      <c r="H39" s="6">
        <f>E39*PV_SESSION+F39*PV_CHALLENGE+G39*PV_WIN</f>
        <v>0</v>
      </c>
    </row>
    <row r="40" ht="15.75" customHeight="1">
      <c r="A40" s="7" t="s">
        <v>110</v>
      </c>
      <c r="B40" s="7" t="s">
        <v>111</v>
      </c>
      <c r="C40" s="7" t="s">
        <v>318</v>
      </c>
      <c r="D40" s="7" t="s">
        <v>279</v>
      </c>
      <c r="E40" s="19">
        <v>0.0</v>
      </c>
      <c r="F40" s="19">
        <v>0.0</v>
      </c>
      <c r="G40" s="19">
        <v>0.0</v>
      </c>
      <c r="H40" s="6">
        <f>E40*PV_SESSION+F40*PV_CHALLENGE+G40*PV_WIN</f>
        <v>0</v>
      </c>
    </row>
    <row r="41" ht="15.75" customHeight="1">
      <c r="A41" s="7" t="s">
        <v>110</v>
      </c>
      <c r="B41" s="7" t="s">
        <v>111</v>
      </c>
      <c r="C41" s="7" t="s">
        <v>319</v>
      </c>
      <c r="D41" s="7" t="s">
        <v>281</v>
      </c>
      <c r="E41" s="19">
        <v>0.0</v>
      </c>
      <c r="F41" s="19">
        <v>0.0</v>
      </c>
      <c r="G41" s="19">
        <v>0.0</v>
      </c>
      <c r="H41" s="6">
        <f>E41*PV_SESSION+F41*PV_CHALLENGE+G41*PV_WIN</f>
        <v>0</v>
      </c>
    </row>
    <row r="42" ht="15.75" customHeight="1">
      <c r="A42" s="7" t="s">
        <v>110</v>
      </c>
      <c r="B42" s="7" t="s">
        <v>111</v>
      </c>
      <c r="C42" s="7" t="s">
        <v>320</v>
      </c>
      <c r="D42" s="7" t="s">
        <v>281</v>
      </c>
      <c r="E42" s="19">
        <v>0.0</v>
      </c>
      <c r="F42" s="19">
        <v>0.0</v>
      </c>
      <c r="G42" s="19">
        <v>0.0</v>
      </c>
      <c r="H42" s="6">
        <f>E42*PV_SESSION+F42*PV_CHALLENGE+G42*PV_WIN</f>
        <v>0</v>
      </c>
    </row>
    <row r="43" ht="15.75" customHeight="1">
      <c r="A43" s="7" t="s">
        <v>112</v>
      </c>
      <c r="B43" s="7" t="s">
        <v>113</v>
      </c>
      <c r="C43" s="7" t="s">
        <v>321</v>
      </c>
      <c r="D43" s="7" t="s">
        <v>279</v>
      </c>
      <c r="E43" s="19">
        <v>0.0</v>
      </c>
      <c r="F43" s="19">
        <v>0.0</v>
      </c>
      <c r="G43" s="19">
        <v>0.0</v>
      </c>
      <c r="H43" s="6">
        <f>E43*PV_SESSION+F43*PV_CHALLENGE+G43*PV_WIN</f>
        <v>0</v>
      </c>
    </row>
    <row r="44" ht="15.75" customHeight="1">
      <c r="A44" s="7" t="s">
        <v>112</v>
      </c>
      <c r="B44" s="7" t="s">
        <v>113</v>
      </c>
      <c r="C44" s="7" t="s">
        <v>322</v>
      </c>
      <c r="D44" s="7" t="s">
        <v>281</v>
      </c>
      <c r="E44" s="19">
        <v>0.0</v>
      </c>
      <c r="F44" s="19">
        <v>0.0</v>
      </c>
      <c r="G44" s="19">
        <v>0.0</v>
      </c>
      <c r="H44" s="6">
        <f>E44*PV_SESSION+F44*PV_CHALLENGE+G44*PV_WIN</f>
        <v>0</v>
      </c>
    </row>
    <row r="45" ht="15.75" customHeight="1">
      <c r="A45" s="7" t="s">
        <v>112</v>
      </c>
      <c r="B45" s="7" t="s">
        <v>113</v>
      </c>
      <c r="C45" s="7" t="s">
        <v>323</v>
      </c>
      <c r="D45" s="7" t="s">
        <v>281</v>
      </c>
      <c r="E45" s="19">
        <v>0.0</v>
      </c>
      <c r="F45" s="19">
        <v>0.0</v>
      </c>
      <c r="G45" s="19">
        <v>0.0</v>
      </c>
      <c r="H45" s="6">
        <f>E45*PV_SESSION+F45*PV_CHALLENGE+G45*PV_WIN</f>
        <v>0</v>
      </c>
    </row>
    <row r="46" ht="15.75" customHeight="1">
      <c r="A46" s="7" t="s">
        <v>114</v>
      </c>
      <c r="B46" s="7" t="s">
        <v>115</v>
      </c>
      <c r="C46" s="7" t="s">
        <v>324</v>
      </c>
      <c r="D46" s="7" t="s">
        <v>279</v>
      </c>
      <c r="E46" s="19">
        <v>0.0</v>
      </c>
      <c r="F46" s="19">
        <v>0.0</v>
      </c>
      <c r="G46" s="19">
        <v>0.0</v>
      </c>
      <c r="H46" s="6">
        <f>E46*PV_SESSION+F46*PV_CHALLENGE+G46*PV_WIN</f>
        <v>0</v>
      </c>
    </row>
    <row r="47" ht="15.75" customHeight="1">
      <c r="A47" s="7" t="s">
        <v>114</v>
      </c>
      <c r="B47" s="7" t="s">
        <v>115</v>
      </c>
      <c r="C47" s="7" t="s">
        <v>325</v>
      </c>
      <c r="D47" s="7" t="s">
        <v>281</v>
      </c>
      <c r="E47" s="19">
        <v>0.0</v>
      </c>
      <c r="F47" s="19">
        <v>0.0</v>
      </c>
      <c r="G47" s="19">
        <v>0.0</v>
      </c>
      <c r="H47" s="6">
        <f>E47*PV_SESSION+F47*PV_CHALLENGE+G47*PV_WIN</f>
        <v>0</v>
      </c>
    </row>
    <row r="48" ht="15.75" customHeight="1">
      <c r="A48" s="7" t="s">
        <v>114</v>
      </c>
      <c r="B48" s="7" t="s">
        <v>115</v>
      </c>
      <c r="C48" s="7" t="s">
        <v>326</v>
      </c>
      <c r="D48" s="7" t="s">
        <v>281</v>
      </c>
      <c r="E48" s="19">
        <v>0.0</v>
      </c>
      <c r="F48" s="19">
        <v>0.0</v>
      </c>
      <c r="G48" s="19">
        <v>0.0</v>
      </c>
      <c r="H48" s="6">
        <f>E48*PV_SESSION+F48*PV_CHALLENGE+G48*PV_WIN</f>
        <v>0</v>
      </c>
    </row>
    <row r="49" ht="15.75" customHeight="1">
      <c r="A49" s="7" t="s">
        <v>116</v>
      </c>
      <c r="B49" s="7" t="s">
        <v>117</v>
      </c>
      <c r="C49" s="7" t="s">
        <v>327</v>
      </c>
      <c r="D49" s="7" t="s">
        <v>279</v>
      </c>
      <c r="E49" s="19">
        <v>0.0</v>
      </c>
      <c r="F49" s="19">
        <v>0.0</v>
      </c>
      <c r="G49" s="19">
        <v>0.0</v>
      </c>
      <c r="H49" s="6">
        <f>E49*PV_SESSION+F49*PV_CHALLENGE+G49*PV_WIN</f>
        <v>0</v>
      </c>
    </row>
    <row r="50" ht="15.75" customHeight="1">
      <c r="A50" s="7" t="s">
        <v>116</v>
      </c>
      <c r="B50" s="7" t="s">
        <v>117</v>
      </c>
      <c r="C50" s="7" t="s">
        <v>328</v>
      </c>
      <c r="D50" s="7" t="s">
        <v>281</v>
      </c>
      <c r="E50" s="19">
        <v>0.0</v>
      </c>
      <c r="F50" s="19">
        <v>0.0</v>
      </c>
      <c r="G50" s="19">
        <v>0.0</v>
      </c>
      <c r="H50" s="6">
        <f>E50*PV_SESSION+F50*PV_CHALLENGE+G50*PV_WIN</f>
        <v>0</v>
      </c>
    </row>
    <row r="51" ht="15.75" customHeight="1">
      <c r="A51" s="7" t="s">
        <v>118</v>
      </c>
      <c r="B51" s="7" t="s">
        <v>119</v>
      </c>
      <c r="C51" s="7" t="s">
        <v>329</v>
      </c>
      <c r="D51" s="7" t="s">
        <v>279</v>
      </c>
      <c r="E51" s="19">
        <v>0.0</v>
      </c>
      <c r="F51" s="19">
        <v>0.0</v>
      </c>
      <c r="G51" s="19">
        <v>0.0</v>
      </c>
      <c r="H51" s="6">
        <f>E51*PV_SESSION+F51*PV_CHALLENGE+G51*PV_WIN</f>
        <v>0</v>
      </c>
    </row>
    <row r="52" ht="15.75" customHeight="1">
      <c r="A52" s="7" t="s">
        <v>118</v>
      </c>
      <c r="B52" s="7" t="s">
        <v>119</v>
      </c>
      <c r="C52" s="7" t="s">
        <v>330</v>
      </c>
      <c r="D52" s="7" t="s">
        <v>281</v>
      </c>
      <c r="E52" s="19">
        <v>0.0</v>
      </c>
      <c r="F52" s="19">
        <v>0.0</v>
      </c>
      <c r="G52" s="19">
        <v>0.0</v>
      </c>
      <c r="H52" s="6">
        <f>E52*PV_SESSION+F52*PV_CHALLENGE+G52*PV_WIN</f>
        <v>0</v>
      </c>
    </row>
    <row r="53" ht="15.75" customHeight="1">
      <c r="A53" s="7" t="s">
        <v>120</v>
      </c>
      <c r="B53" s="7" t="s">
        <v>121</v>
      </c>
      <c r="C53" s="7" t="s">
        <v>331</v>
      </c>
      <c r="D53" s="7" t="s">
        <v>279</v>
      </c>
      <c r="E53" s="19">
        <v>0.0</v>
      </c>
      <c r="F53" s="19">
        <v>0.0</v>
      </c>
      <c r="G53" s="19">
        <v>0.0</v>
      </c>
      <c r="H53" s="6">
        <f>E53*PV_SESSION+F53*PV_CHALLENGE+G53*PV_WIN</f>
        <v>0</v>
      </c>
    </row>
    <row r="54" ht="15.75" customHeight="1">
      <c r="A54" s="7" t="s">
        <v>120</v>
      </c>
      <c r="B54" s="7" t="s">
        <v>121</v>
      </c>
      <c r="C54" s="7" t="s">
        <v>332</v>
      </c>
      <c r="D54" s="7" t="s">
        <v>281</v>
      </c>
      <c r="E54" s="19">
        <v>0.0</v>
      </c>
      <c r="F54" s="19">
        <v>0.0</v>
      </c>
      <c r="G54" s="19">
        <v>0.0</v>
      </c>
      <c r="H54" s="6">
        <f>E54*PV_SESSION+F54*PV_CHALLENGE+G54*PV_WIN</f>
        <v>0</v>
      </c>
    </row>
    <row r="55" ht="15.75" customHeight="1">
      <c r="A55" s="7" t="s">
        <v>120</v>
      </c>
      <c r="B55" s="7" t="s">
        <v>121</v>
      </c>
      <c r="C55" s="7" t="s">
        <v>333</v>
      </c>
      <c r="D55" s="7" t="s">
        <v>281</v>
      </c>
      <c r="E55" s="19">
        <v>0.0</v>
      </c>
      <c r="F55" s="19">
        <v>0.0</v>
      </c>
      <c r="G55" s="19">
        <v>0.0</v>
      </c>
      <c r="H55" s="6">
        <f>E55*PV_SESSION+F55*PV_CHALLENGE+G55*PV_WIN</f>
        <v>0</v>
      </c>
    </row>
    <row r="56" ht="15.75" customHeight="1">
      <c r="A56" s="7" t="s">
        <v>122</v>
      </c>
      <c r="B56" s="7" t="s">
        <v>123</v>
      </c>
      <c r="C56" s="7" t="s">
        <v>334</v>
      </c>
      <c r="D56" s="7" t="s">
        <v>279</v>
      </c>
      <c r="E56" s="19">
        <v>0.0</v>
      </c>
      <c r="F56" s="19">
        <v>0.0</v>
      </c>
      <c r="G56" s="19">
        <v>0.0</v>
      </c>
      <c r="H56" s="6">
        <f>E56*PV_SESSION+F56*PV_CHALLENGE+G56*PV_WIN</f>
        <v>0</v>
      </c>
    </row>
    <row r="57" ht="15.75" customHeight="1">
      <c r="A57" s="7" t="s">
        <v>124</v>
      </c>
      <c r="B57" s="7" t="s">
        <v>125</v>
      </c>
      <c r="C57" s="7" t="s">
        <v>335</v>
      </c>
      <c r="D57" s="7" t="s">
        <v>279</v>
      </c>
      <c r="E57" s="19">
        <v>0.0</v>
      </c>
      <c r="F57" s="19">
        <v>0.0</v>
      </c>
      <c r="G57" s="19">
        <v>0.0</v>
      </c>
      <c r="H57" s="6">
        <f>E57*PV_SESSION+F57*PV_CHALLENGE+G57*PV_WIN</f>
        <v>0</v>
      </c>
    </row>
    <row r="58" ht="15.75" customHeight="1">
      <c r="A58" s="7" t="s">
        <v>124</v>
      </c>
      <c r="B58" s="7" t="s">
        <v>125</v>
      </c>
      <c r="C58" s="7" t="s">
        <v>336</v>
      </c>
      <c r="D58" s="7" t="s">
        <v>281</v>
      </c>
      <c r="E58" s="19">
        <v>0.0</v>
      </c>
      <c r="F58" s="19">
        <v>0.0</v>
      </c>
      <c r="G58" s="19">
        <v>0.0</v>
      </c>
      <c r="H58" s="6">
        <f>E58*PV_SESSION+F58*PV_CHALLENGE+G58*PV_WIN</f>
        <v>0</v>
      </c>
    </row>
    <row r="59" ht="15.75" customHeight="1">
      <c r="A59" s="7" t="s">
        <v>126</v>
      </c>
      <c r="B59" s="7" t="s">
        <v>127</v>
      </c>
      <c r="C59" s="7" t="s">
        <v>337</v>
      </c>
      <c r="D59" s="7" t="s">
        <v>279</v>
      </c>
      <c r="E59" s="19">
        <v>0.0</v>
      </c>
      <c r="F59" s="19">
        <v>0.0</v>
      </c>
      <c r="G59" s="19">
        <v>0.0</v>
      </c>
      <c r="H59" s="6">
        <f>E59*PV_SESSION+F59*PV_CHALLENGE+G59*PV_WIN</f>
        <v>0</v>
      </c>
    </row>
    <row r="60" ht="15.75" customHeight="1">
      <c r="A60" s="7" t="s">
        <v>126</v>
      </c>
      <c r="B60" s="7" t="s">
        <v>127</v>
      </c>
      <c r="C60" s="7" t="s">
        <v>338</v>
      </c>
      <c r="D60" s="7" t="s">
        <v>281</v>
      </c>
      <c r="E60" s="19">
        <v>0.0</v>
      </c>
      <c r="F60" s="19">
        <v>0.0</v>
      </c>
      <c r="G60" s="19">
        <v>0.0</v>
      </c>
      <c r="H60" s="6">
        <f>E60*PV_SESSION+F60*PV_CHALLENGE+G60*PV_WIN</f>
        <v>0</v>
      </c>
    </row>
    <row r="61" ht="15.75" customHeight="1">
      <c r="A61" s="7" t="s">
        <v>128</v>
      </c>
      <c r="B61" s="7" t="s">
        <v>129</v>
      </c>
      <c r="C61" s="7" t="s">
        <v>339</v>
      </c>
      <c r="D61" s="7" t="s">
        <v>279</v>
      </c>
      <c r="E61" s="19">
        <v>0.0</v>
      </c>
      <c r="F61" s="19">
        <v>0.0</v>
      </c>
      <c r="G61" s="19">
        <v>0.0</v>
      </c>
      <c r="H61" s="6">
        <f>E61*PV_SESSION+F61*PV_CHALLENGE+G61*PV_WIN</f>
        <v>0</v>
      </c>
    </row>
    <row r="62" ht="15.75" customHeight="1">
      <c r="A62" s="7" t="s">
        <v>130</v>
      </c>
      <c r="B62" s="7" t="s">
        <v>131</v>
      </c>
      <c r="C62" s="7" t="s">
        <v>340</v>
      </c>
      <c r="D62" s="7" t="s">
        <v>279</v>
      </c>
      <c r="E62" s="19">
        <v>0.0</v>
      </c>
      <c r="F62" s="19">
        <v>0.0</v>
      </c>
      <c r="G62" s="19">
        <v>0.0</v>
      </c>
      <c r="H62" s="6">
        <f>E62*PV_SESSION+F62*PV_CHALLENGE+G62*PV_WIN</f>
        <v>0</v>
      </c>
    </row>
    <row r="63" ht="15.75" customHeight="1">
      <c r="A63" s="7" t="s">
        <v>132</v>
      </c>
      <c r="B63" s="7" t="s">
        <v>133</v>
      </c>
      <c r="C63" s="7" t="s">
        <v>341</v>
      </c>
      <c r="D63" s="7" t="s">
        <v>279</v>
      </c>
      <c r="E63" s="19">
        <v>0.0</v>
      </c>
      <c r="F63" s="19">
        <v>0.0</v>
      </c>
      <c r="G63" s="19">
        <v>0.0</v>
      </c>
      <c r="H63" s="6">
        <f>E63*PV_SESSION+F63*PV_CHALLENGE+G63*PV_WIN</f>
        <v>0</v>
      </c>
    </row>
    <row r="64" ht="15.75" customHeight="1">
      <c r="A64" s="7" t="s">
        <v>134</v>
      </c>
      <c r="B64" s="7" t="s">
        <v>135</v>
      </c>
      <c r="C64" s="7" t="s">
        <v>342</v>
      </c>
      <c r="D64" s="7" t="s">
        <v>279</v>
      </c>
      <c r="E64" s="19">
        <v>0.0</v>
      </c>
      <c r="F64" s="19">
        <v>0.0</v>
      </c>
      <c r="G64" s="19">
        <v>0.0</v>
      </c>
      <c r="H64" s="6">
        <f>E64*PV_SESSION+F64*PV_CHALLENGE+G64*PV_WIN</f>
        <v>0</v>
      </c>
    </row>
    <row r="65" ht="15.75" customHeight="1">
      <c r="A65" s="7" t="s">
        <v>136</v>
      </c>
      <c r="B65" s="7" t="s">
        <v>137</v>
      </c>
      <c r="C65" s="7" t="s">
        <v>343</v>
      </c>
      <c r="D65" s="7" t="s">
        <v>279</v>
      </c>
      <c r="E65" s="19">
        <v>0.0</v>
      </c>
      <c r="F65" s="19">
        <v>0.0</v>
      </c>
      <c r="G65" s="19">
        <v>0.0</v>
      </c>
      <c r="H65" s="6">
        <f>E65*PV_SESSION+F65*PV_CHALLENGE+G65*PV_WIN</f>
        <v>0</v>
      </c>
    </row>
    <row r="66" ht="15.75" customHeight="1">
      <c r="A66" s="7" t="s">
        <v>138</v>
      </c>
      <c r="B66" s="7" t="s">
        <v>139</v>
      </c>
      <c r="C66" s="7" t="s">
        <v>344</v>
      </c>
      <c r="D66" s="7" t="s">
        <v>279</v>
      </c>
      <c r="E66" s="19">
        <v>0.0</v>
      </c>
      <c r="F66" s="19">
        <v>0.0</v>
      </c>
      <c r="G66" s="19">
        <v>0.0</v>
      </c>
      <c r="H66" s="6">
        <f>E66*PV_SESSION+F66*PV_CHALLENGE+G66*PV_WIN</f>
        <v>0</v>
      </c>
    </row>
    <row r="67" ht="15.75" customHeight="1">
      <c r="A67" s="7" t="s">
        <v>138</v>
      </c>
      <c r="B67" s="7" t="s">
        <v>139</v>
      </c>
      <c r="C67" s="7" t="s">
        <v>345</v>
      </c>
      <c r="D67" s="7" t="s">
        <v>281</v>
      </c>
      <c r="E67" s="19">
        <v>0.0</v>
      </c>
      <c r="F67" s="19">
        <v>0.0</v>
      </c>
      <c r="G67" s="19">
        <v>0.0</v>
      </c>
      <c r="H67" s="6">
        <f>E67*PV_SESSION+F67*PV_CHALLENGE+G67*PV_WIN</f>
        <v>0</v>
      </c>
    </row>
    <row r="68" ht="15.75" customHeight="1">
      <c r="A68" s="7" t="s">
        <v>140</v>
      </c>
      <c r="B68" s="7" t="s">
        <v>141</v>
      </c>
      <c r="C68" s="7" t="s">
        <v>346</v>
      </c>
      <c r="D68" s="7" t="s">
        <v>279</v>
      </c>
      <c r="E68" s="19">
        <v>0.0</v>
      </c>
      <c r="F68" s="19">
        <v>0.0</v>
      </c>
      <c r="G68" s="19">
        <v>0.0</v>
      </c>
      <c r="H68" s="6">
        <f>E68*PV_SESSION+F68*PV_CHALLENGE+G68*PV_WIN</f>
        <v>0</v>
      </c>
    </row>
    <row r="69" ht="15.75" customHeight="1">
      <c r="A69" s="7" t="s">
        <v>140</v>
      </c>
      <c r="B69" s="7" t="s">
        <v>141</v>
      </c>
      <c r="C69" s="7" t="s">
        <v>347</v>
      </c>
      <c r="D69" s="7" t="s">
        <v>281</v>
      </c>
      <c r="E69" s="19">
        <v>0.0</v>
      </c>
      <c r="F69" s="19">
        <v>0.0</v>
      </c>
      <c r="G69" s="19">
        <v>0.0</v>
      </c>
      <c r="H69" s="6">
        <f>E69*PV_SESSION+F69*PV_CHALLENGE+G69*PV_WIN</f>
        <v>0</v>
      </c>
    </row>
    <row r="70" ht="15.75" customHeight="1">
      <c r="A70" s="7" t="s">
        <v>142</v>
      </c>
      <c r="B70" s="7" t="s">
        <v>143</v>
      </c>
      <c r="C70" s="7" t="s">
        <v>348</v>
      </c>
      <c r="D70" s="7" t="s">
        <v>279</v>
      </c>
      <c r="E70" s="19">
        <v>0.0</v>
      </c>
      <c r="F70" s="19">
        <v>0.0</v>
      </c>
      <c r="G70" s="19">
        <v>0.0</v>
      </c>
      <c r="H70" s="6">
        <f>E70*PV_SESSION+F70*PV_CHALLENGE+G70*PV_WIN</f>
        <v>0</v>
      </c>
    </row>
    <row r="71" ht="15.75" customHeight="1">
      <c r="A71" s="7" t="s">
        <v>144</v>
      </c>
      <c r="B71" s="7" t="s">
        <v>145</v>
      </c>
      <c r="C71" s="7" t="s">
        <v>349</v>
      </c>
      <c r="D71" s="7" t="s">
        <v>279</v>
      </c>
      <c r="E71" s="19">
        <v>0.0</v>
      </c>
      <c r="F71" s="19">
        <v>0.0</v>
      </c>
      <c r="G71" s="19">
        <v>0.0</v>
      </c>
      <c r="H71" s="6">
        <f>E71*PV_SESSION+F71*PV_CHALLENGE+G71*PV_WIN</f>
        <v>0</v>
      </c>
    </row>
    <row r="72" ht="15.75" customHeight="1">
      <c r="A72" s="7" t="s">
        <v>146</v>
      </c>
      <c r="B72" s="7" t="s">
        <v>147</v>
      </c>
      <c r="C72" s="7" t="s">
        <v>350</v>
      </c>
      <c r="D72" s="7" t="s">
        <v>279</v>
      </c>
      <c r="E72" s="19">
        <v>0.0</v>
      </c>
      <c r="F72" s="19">
        <v>0.0</v>
      </c>
      <c r="G72" s="19">
        <v>0.0</v>
      </c>
      <c r="H72" s="6">
        <f>E72*PV_SESSION+F72*PV_CHALLENGE+G72*PV_WIN</f>
        <v>0</v>
      </c>
    </row>
    <row r="73" ht="15.75" customHeight="1">
      <c r="A73" s="7" t="s">
        <v>146</v>
      </c>
      <c r="B73" s="7" t="s">
        <v>147</v>
      </c>
      <c r="C73" s="7" t="s">
        <v>351</v>
      </c>
      <c r="D73" s="7" t="s">
        <v>281</v>
      </c>
      <c r="E73" s="19">
        <v>0.0</v>
      </c>
      <c r="F73" s="19">
        <v>0.0</v>
      </c>
      <c r="G73" s="19">
        <v>0.0</v>
      </c>
      <c r="H73" s="6">
        <f>E73*PV_SESSION+F73*PV_CHALLENGE+G73*PV_WIN</f>
        <v>0</v>
      </c>
    </row>
    <row r="74" ht="15.75" customHeight="1">
      <c r="A74" s="7" t="s">
        <v>148</v>
      </c>
      <c r="B74" s="7" t="s">
        <v>149</v>
      </c>
      <c r="C74" s="7" t="s">
        <v>352</v>
      </c>
      <c r="D74" s="7" t="s">
        <v>279</v>
      </c>
      <c r="E74" s="19">
        <v>0.0</v>
      </c>
      <c r="F74" s="19">
        <v>0.0</v>
      </c>
      <c r="G74" s="19">
        <v>0.0</v>
      </c>
      <c r="H74" s="6">
        <f>E74*PV_SESSION+F74*PV_CHALLENGE+G74*PV_WIN</f>
        <v>0</v>
      </c>
    </row>
    <row r="75" ht="15.75" customHeight="1">
      <c r="A75" s="7" t="s">
        <v>148</v>
      </c>
      <c r="B75" s="7" t="s">
        <v>149</v>
      </c>
      <c r="C75" s="7" t="s">
        <v>353</v>
      </c>
      <c r="D75" s="7" t="s">
        <v>281</v>
      </c>
      <c r="E75" s="19">
        <v>0.0</v>
      </c>
      <c r="F75" s="19">
        <v>0.0</v>
      </c>
      <c r="G75" s="19">
        <v>0.0</v>
      </c>
      <c r="H75" s="6">
        <f>E75*PV_SESSION+F75*PV_CHALLENGE+G75*PV_WIN</f>
        <v>0</v>
      </c>
    </row>
    <row r="76" ht="15.75" customHeight="1">
      <c r="A76" s="7" t="s">
        <v>150</v>
      </c>
      <c r="B76" s="7" t="s">
        <v>151</v>
      </c>
      <c r="C76" s="7" t="s">
        <v>354</v>
      </c>
      <c r="D76" s="7" t="s">
        <v>279</v>
      </c>
      <c r="E76" s="19">
        <v>0.0</v>
      </c>
      <c r="F76" s="19">
        <v>0.0</v>
      </c>
      <c r="G76" s="19">
        <v>0.0</v>
      </c>
      <c r="H76" s="6">
        <f>E76*PV_SESSION+F76*PV_CHALLENGE+G76*PV_WIN</f>
        <v>0</v>
      </c>
    </row>
    <row r="77" ht="15.75" customHeight="1">
      <c r="A77" s="7" t="s">
        <v>150</v>
      </c>
      <c r="B77" s="7" t="s">
        <v>151</v>
      </c>
      <c r="C77" s="7" t="s">
        <v>355</v>
      </c>
      <c r="D77" s="7" t="s">
        <v>281</v>
      </c>
      <c r="E77" s="19">
        <v>0.0</v>
      </c>
      <c r="F77" s="19">
        <v>0.0</v>
      </c>
      <c r="G77" s="19">
        <v>0.0</v>
      </c>
      <c r="H77" s="6">
        <f>E77*PV_SESSION+F77*PV_CHALLENGE+G77*PV_WIN</f>
        <v>0</v>
      </c>
    </row>
    <row r="78" ht="15.75" customHeight="1">
      <c r="A78" s="7" t="s">
        <v>150</v>
      </c>
      <c r="B78" s="7" t="s">
        <v>151</v>
      </c>
      <c r="C78" s="7" t="s">
        <v>356</v>
      </c>
      <c r="D78" s="7" t="s">
        <v>281</v>
      </c>
      <c r="E78" s="19">
        <v>0.0</v>
      </c>
      <c r="F78" s="19">
        <v>0.0</v>
      </c>
      <c r="G78" s="19">
        <v>0.0</v>
      </c>
      <c r="H78" s="6">
        <f>E78*PV_SESSION+F78*PV_CHALLENGE+G78*PV_WIN</f>
        <v>0</v>
      </c>
    </row>
    <row r="79" ht="15.75" customHeight="1">
      <c r="A79" s="7" t="s">
        <v>152</v>
      </c>
      <c r="B79" s="7" t="s">
        <v>153</v>
      </c>
      <c r="C79" s="7" t="s">
        <v>357</v>
      </c>
      <c r="D79" s="7" t="s">
        <v>279</v>
      </c>
      <c r="E79" s="19">
        <v>0.0</v>
      </c>
      <c r="F79" s="19">
        <v>0.0</v>
      </c>
      <c r="G79" s="19">
        <v>0.0</v>
      </c>
      <c r="H79" s="6">
        <f>E79*PV_SESSION+F79*PV_CHALLENGE+G79*PV_WIN</f>
        <v>0</v>
      </c>
    </row>
    <row r="80" ht="15.75" customHeight="1">
      <c r="A80" s="7" t="s">
        <v>154</v>
      </c>
      <c r="B80" s="7" t="s">
        <v>155</v>
      </c>
      <c r="C80" s="7" t="s">
        <v>358</v>
      </c>
      <c r="D80" s="7" t="s">
        <v>279</v>
      </c>
      <c r="E80" s="19">
        <v>0.0</v>
      </c>
      <c r="F80" s="19">
        <v>0.0</v>
      </c>
      <c r="G80" s="19">
        <v>0.0</v>
      </c>
      <c r="H80" s="6">
        <f>E80*PV_SESSION+F80*PV_CHALLENGE+G80*PV_WIN</f>
        <v>0</v>
      </c>
    </row>
    <row r="81" ht="15.75" customHeight="1">
      <c r="A81" s="7" t="s">
        <v>154</v>
      </c>
      <c r="B81" s="7" t="s">
        <v>155</v>
      </c>
      <c r="C81" s="7" t="s">
        <v>359</v>
      </c>
      <c r="D81" s="7" t="s">
        <v>281</v>
      </c>
      <c r="E81" s="19">
        <v>0.0</v>
      </c>
      <c r="F81" s="19">
        <v>0.0</v>
      </c>
      <c r="G81" s="19">
        <v>0.0</v>
      </c>
      <c r="H81" s="6">
        <f>E81*PV_SESSION+F81*PV_CHALLENGE+G81*PV_WIN</f>
        <v>0</v>
      </c>
    </row>
    <row r="82" ht="15.75" customHeight="1">
      <c r="A82" s="7" t="s">
        <v>154</v>
      </c>
      <c r="B82" s="7" t="s">
        <v>155</v>
      </c>
      <c r="C82" s="7" t="s">
        <v>360</v>
      </c>
      <c r="D82" s="7" t="s">
        <v>281</v>
      </c>
      <c r="E82" s="19">
        <v>0.0</v>
      </c>
      <c r="F82" s="19">
        <v>0.0</v>
      </c>
      <c r="G82" s="19">
        <v>0.0</v>
      </c>
      <c r="H82" s="6">
        <f>E82*PV_SESSION+F82*PV_CHALLENGE+G82*PV_WIN</f>
        <v>0</v>
      </c>
    </row>
    <row r="83" ht="15.75" customHeight="1">
      <c r="A83" s="7" t="s">
        <v>156</v>
      </c>
      <c r="B83" s="7" t="s">
        <v>157</v>
      </c>
      <c r="C83" s="7" t="s">
        <v>361</v>
      </c>
      <c r="D83" s="7" t="s">
        <v>279</v>
      </c>
      <c r="E83" s="19">
        <v>0.0</v>
      </c>
      <c r="F83" s="19">
        <v>0.0</v>
      </c>
      <c r="G83" s="19">
        <v>0.0</v>
      </c>
      <c r="H83" s="6">
        <f>E83*PV_SESSION+F83*PV_CHALLENGE+G83*PV_WIN</f>
        <v>0</v>
      </c>
    </row>
    <row r="84" ht="15.75" customHeight="1">
      <c r="A84" s="7" t="s">
        <v>156</v>
      </c>
      <c r="B84" s="7" t="s">
        <v>157</v>
      </c>
      <c r="C84" s="7" t="s">
        <v>362</v>
      </c>
      <c r="D84" s="7" t="s">
        <v>281</v>
      </c>
      <c r="E84" s="19">
        <v>0.0</v>
      </c>
      <c r="F84" s="19">
        <v>0.0</v>
      </c>
      <c r="G84" s="19">
        <v>0.0</v>
      </c>
      <c r="H84" s="6">
        <f>E84*PV_SESSION+F84*PV_CHALLENGE+G84*PV_WIN</f>
        <v>0</v>
      </c>
    </row>
    <row r="85" ht="15.75" customHeight="1">
      <c r="A85" s="7" t="s">
        <v>158</v>
      </c>
      <c r="B85" s="7" t="s">
        <v>159</v>
      </c>
      <c r="C85" s="7" t="s">
        <v>363</v>
      </c>
      <c r="D85" s="7" t="s">
        <v>279</v>
      </c>
      <c r="E85" s="19">
        <v>0.0</v>
      </c>
      <c r="F85" s="19">
        <v>0.0</v>
      </c>
      <c r="G85" s="19">
        <v>0.0</v>
      </c>
      <c r="H85" s="6">
        <f>E85*PV_SESSION+F85*PV_CHALLENGE+G85*PV_WIN</f>
        <v>0</v>
      </c>
    </row>
    <row r="86" ht="15.75" customHeight="1">
      <c r="A86" s="7" t="s">
        <v>158</v>
      </c>
      <c r="B86" s="7" t="s">
        <v>159</v>
      </c>
      <c r="C86" s="7" t="s">
        <v>364</v>
      </c>
      <c r="D86" s="7" t="s">
        <v>281</v>
      </c>
      <c r="E86" s="19">
        <v>0.0</v>
      </c>
      <c r="F86" s="19">
        <v>0.0</v>
      </c>
      <c r="G86" s="19">
        <v>0.0</v>
      </c>
      <c r="H86" s="6">
        <f>E86*PV_SESSION+F86*PV_CHALLENGE+G86*PV_WIN</f>
        <v>0</v>
      </c>
    </row>
    <row r="87" ht="15.75" customHeight="1">
      <c r="A87" s="7" t="s">
        <v>160</v>
      </c>
      <c r="B87" s="7" t="s">
        <v>161</v>
      </c>
      <c r="C87" s="7" t="s">
        <v>365</v>
      </c>
      <c r="D87" s="7" t="s">
        <v>279</v>
      </c>
      <c r="E87" s="19">
        <v>0.0</v>
      </c>
      <c r="F87" s="19">
        <v>0.0</v>
      </c>
      <c r="G87" s="19">
        <v>0.0</v>
      </c>
      <c r="H87" s="6">
        <f>E87*PV_SESSION+F87*PV_CHALLENGE+G87*PV_WIN</f>
        <v>0</v>
      </c>
    </row>
    <row r="88" ht="15.75" customHeight="1">
      <c r="A88" s="7" t="s">
        <v>160</v>
      </c>
      <c r="B88" s="7" t="s">
        <v>161</v>
      </c>
      <c r="C88" s="7" t="s">
        <v>366</v>
      </c>
      <c r="D88" s="7" t="s">
        <v>281</v>
      </c>
      <c r="E88" s="19">
        <v>0.0</v>
      </c>
      <c r="F88" s="19">
        <v>0.0</v>
      </c>
      <c r="G88" s="19">
        <v>0.0</v>
      </c>
      <c r="H88" s="6">
        <f>E88*PV_SESSION+F88*PV_CHALLENGE+G88*PV_WIN</f>
        <v>0</v>
      </c>
    </row>
    <row r="89" ht="15.75" customHeight="1">
      <c r="A89" s="7" t="s">
        <v>162</v>
      </c>
      <c r="B89" s="7" t="s">
        <v>163</v>
      </c>
      <c r="C89" s="7" t="s">
        <v>367</v>
      </c>
      <c r="D89" s="7" t="s">
        <v>279</v>
      </c>
      <c r="E89" s="19">
        <v>0.0</v>
      </c>
      <c r="F89" s="19">
        <v>0.0</v>
      </c>
      <c r="G89" s="19">
        <v>0.0</v>
      </c>
      <c r="H89" s="6">
        <f>E89*PV_SESSION+F89*PV_CHALLENGE+G89*PV_WIN</f>
        <v>0</v>
      </c>
    </row>
    <row r="90" ht="15.75" customHeight="1">
      <c r="A90" s="7" t="s">
        <v>164</v>
      </c>
      <c r="B90" s="7" t="s">
        <v>165</v>
      </c>
      <c r="C90" s="7" t="s">
        <v>368</v>
      </c>
      <c r="D90" s="7" t="s">
        <v>279</v>
      </c>
      <c r="E90" s="19">
        <v>0.0</v>
      </c>
      <c r="F90" s="19">
        <v>0.0</v>
      </c>
      <c r="G90" s="19">
        <v>0.0</v>
      </c>
      <c r="H90" s="6">
        <f>E90*PV_SESSION+F90*PV_CHALLENGE+G90*PV_WIN</f>
        <v>0</v>
      </c>
    </row>
    <row r="91" ht="15.75" customHeight="1">
      <c r="A91" s="7" t="s">
        <v>164</v>
      </c>
      <c r="B91" s="7" t="s">
        <v>165</v>
      </c>
      <c r="C91" s="7" t="s">
        <v>369</v>
      </c>
      <c r="D91" s="7" t="s">
        <v>281</v>
      </c>
      <c r="E91" s="19">
        <v>0.0</v>
      </c>
      <c r="F91" s="19">
        <v>0.0</v>
      </c>
      <c r="G91" s="19">
        <v>0.0</v>
      </c>
      <c r="H91" s="6">
        <f>E91*PV_SESSION+F91*PV_CHALLENGE+G91*PV_WIN</f>
        <v>0</v>
      </c>
    </row>
    <row r="92" ht="15.75" customHeight="1">
      <c r="A92" s="7" t="s">
        <v>164</v>
      </c>
      <c r="B92" s="7" t="s">
        <v>165</v>
      </c>
      <c r="C92" s="7" t="s">
        <v>370</v>
      </c>
      <c r="D92" s="7" t="s">
        <v>281</v>
      </c>
      <c r="E92" s="19">
        <v>0.0</v>
      </c>
      <c r="F92" s="19">
        <v>0.0</v>
      </c>
      <c r="G92" s="19">
        <v>0.0</v>
      </c>
      <c r="H92" s="6">
        <f>E92*PV_SESSION+F92*PV_CHALLENGE+G92*PV_WIN</f>
        <v>0</v>
      </c>
    </row>
    <row r="93" ht="15.75" customHeight="1">
      <c r="A93" s="7" t="s">
        <v>167</v>
      </c>
      <c r="B93" s="7" t="s">
        <v>168</v>
      </c>
      <c r="C93" s="7" t="s">
        <v>289</v>
      </c>
      <c r="D93" s="7" t="s">
        <v>279</v>
      </c>
      <c r="E93" s="19">
        <v>0.0</v>
      </c>
      <c r="F93" s="19">
        <v>0.0</v>
      </c>
      <c r="G93" s="19">
        <v>0.0</v>
      </c>
      <c r="H93" s="6">
        <f>E93*PV_SESSION+F93*PV_CHALLENGE+G93*PV_WIN</f>
        <v>0</v>
      </c>
    </row>
    <row r="94" ht="15.75" customHeight="1">
      <c r="A94" s="7" t="s">
        <v>167</v>
      </c>
      <c r="B94" s="7" t="s">
        <v>168</v>
      </c>
      <c r="C94" s="7" t="s">
        <v>371</v>
      </c>
      <c r="D94" s="7" t="s">
        <v>281</v>
      </c>
      <c r="E94" s="19">
        <v>0.0</v>
      </c>
      <c r="F94" s="19">
        <v>0.0</v>
      </c>
      <c r="G94" s="19">
        <v>0.0</v>
      </c>
      <c r="H94" s="6">
        <f>E94*PV_SESSION+F94*PV_CHALLENGE+G94*PV_WIN</f>
        <v>0</v>
      </c>
    </row>
    <row r="95" ht="15.75" customHeight="1">
      <c r="A95" s="7" t="s">
        <v>169</v>
      </c>
      <c r="B95" s="7" t="s">
        <v>170</v>
      </c>
      <c r="C95" s="7" t="s">
        <v>372</v>
      </c>
      <c r="D95" s="7" t="s">
        <v>279</v>
      </c>
      <c r="E95" s="19">
        <v>0.0</v>
      </c>
      <c r="F95" s="19">
        <v>0.0</v>
      </c>
      <c r="G95" s="19">
        <v>0.0</v>
      </c>
      <c r="H95" s="6">
        <f>E95*PV_SESSION+F95*PV_CHALLENGE+G95*PV_WIN</f>
        <v>0</v>
      </c>
    </row>
    <row r="96" ht="15.75" customHeight="1">
      <c r="A96" s="7" t="s">
        <v>169</v>
      </c>
      <c r="B96" s="7" t="s">
        <v>170</v>
      </c>
      <c r="C96" s="7" t="s">
        <v>373</v>
      </c>
      <c r="D96" s="7" t="s">
        <v>281</v>
      </c>
      <c r="E96" s="19">
        <v>0.0</v>
      </c>
      <c r="F96" s="19">
        <v>0.0</v>
      </c>
      <c r="G96" s="19">
        <v>0.0</v>
      </c>
      <c r="H96" s="6">
        <f>E96*PV_SESSION+F96*PV_CHALLENGE+G96*PV_WIN</f>
        <v>0</v>
      </c>
    </row>
    <row r="97" ht="15.75" customHeight="1">
      <c r="A97" s="7" t="s">
        <v>171</v>
      </c>
      <c r="B97" s="7" t="s">
        <v>172</v>
      </c>
      <c r="C97" s="7" t="s">
        <v>374</v>
      </c>
      <c r="D97" s="7" t="s">
        <v>279</v>
      </c>
      <c r="E97" s="19">
        <v>0.0</v>
      </c>
      <c r="F97" s="19">
        <v>0.0</v>
      </c>
      <c r="G97" s="19">
        <v>0.0</v>
      </c>
      <c r="H97" s="6">
        <f>E97*PV_SESSION+F97*PV_CHALLENGE+G97*PV_WIN</f>
        <v>0</v>
      </c>
    </row>
    <row r="98" ht="15.75" customHeight="1">
      <c r="A98" s="7" t="s">
        <v>173</v>
      </c>
      <c r="B98" s="7" t="s">
        <v>174</v>
      </c>
      <c r="C98" s="7" t="s">
        <v>375</v>
      </c>
      <c r="D98" s="7" t="s">
        <v>279</v>
      </c>
      <c r="E98" s="19">
        <v>0.0</v>
      </c>
      <c r="F98" s="19">
        <v>0.0</v>
      </c>
      <c r="G98" s="19">
        <v>0.0</v>
      </c>
      <c r="H98" s="6">
        <f>E98*PV_SESSION+F98*PV_CHALLENGE+G98*PV_WIN</f>
        <v>0</v>
      </c>
    </row>
    <row r="99" ht="15.75" customHeight="1">
      <c r="A99" s="7" t="s">
        <v>173</v>
      </c>
      <c r="B99" s="7" t="s">
        <v>174</v>
      </c>
      <c r="C99" s="7" t="s">
        <v>376</v>
      </c>
      <c r="D99" s="7" t="s">
        <v>281</v>
      </c>
      <c r="E99" s="19">
        <v>0.0</v>
      </c>
      <c r="F99" s="19">
        <v>0.0</v>
      </c>
      <c r="G99" s="19">
        <v>0.0</v>
      </c>
      <c r="H99" s="6">
        <f>E99*PV_SESSION+F99*PV_CHALLENGE+G99*PV_WIN</f>
        <v>0</v>
      </c>
    </row>
    <row r="100" ht="15.75" customHeight="1">
      <c r="A100" s="7" t="s">
        <v>173</v>
      </c>
      <c r="B100" s="7" t="s">
        <v>174</v>
      </c>
      <c r="C100" s="7" t="s">
        <v>377</v>
      </c>
      <c r="D100" s="7" t="s">
        <v>281</v>
      </c>
      <c r="E100" s="19">
        <v>0.0</v>
      </c>
      <c r="F100" s="19">
        <v>0.0</v>
      </c>
      <c r="G100" s="19">
        <v>0.0</v>
      </c>
      <c r="H100" s="6">
        <f>E100*PV_SESSION+F100*PV_CHALLENGE+G100*PV_WIN</f>
        <v>0</v>
      </c>
    </row>
    <row r="101" ht="15.75" customHeight="1">
      <c r="A101" s="7" t="s">
        <v>175</v>
      </c>
      <c r="B101" s="7" t="s">
        <v>176</v>
      </c>
      <c r="C101" s="7" t="s">
        <v>378</v>
      </c>
      <c r="D101" s="7" t="s">
        <v>279</v>
      </c>
      <c r="E101" s="19">
        <v>0.0</v>
      </c>
      <c r="F101" s="19">
        <v>0.0</v>
      </c>
      <c r="G101" s="19">
        <v>0.0</v>
      </c>
      <c r="H101" s="6">
        <f>E101*PV_SESSION+F101*PV_CHALLENGE+G101*PV_WIN</f>
        <v>0</v>
      </c>
    </row>
    <row r="102" ht="15.75" customHeight="1">
      <c r="A102" s="7" t="s">
        <v>175</v>
      </c>
      <c r="B102" s="7" t="s">
        <v>176</v>
      </c>
      <c r="C102" s="7" t="s">
        <v>379</v>
      </c>
      <c r="D102" s="7" t="s">
        <v>281</v>
      </c>
      <c r="E102" s="19">
        <v>0.0</v>
      </c>
      <c r="F102" s="19">
        <v>0.0</v>
      </c>
      <c r="G102" s="19">
        <v>0.0</v>
      </c>
      <c r="H102" s="6">
        <f>E102*PV_SESSION+F102*PV_CHALLENGE+G102*PV_WIN</f>
        <v>0</v>
      </c>
    </row>
    <row r="103" ht="15.75" customHeight="1">
      <c r="A103" s="7" t="s">
        <v>175</v>
      </c>
      <c r="B103" s="7" t="s">
        <v>176</v>
      </c>
      <c r="C103" s="7" t="s">
        <v>380</v>
      </c>
      <c r="D103" s="7" t="s">
        <v>281</v>
      </c>
      <c r="E103" s="19">
        <v>0.0</v>
      </c>
      <c r="F103" s="19">
        <v>0.0</v>
      </c>
      <c r="G103" s="19">
        <v>0.0</v>
      </c>
      <c r="H103" s="6">
        <f>E103*PV_SESSION+F103*PV_CHALLENGE+G103*PV_WIN</f>
        <v>0</v>
      </c>
    </row>
    <row r="104" ht="15.75" customHeight="1">
      <c r="A104" s="7" t="s">
        <v>177</v>
      </c>
      <c r="B104" s="7" t="s">
        <v>178</v>
      </c>
      <c r="C104" s="7" t="s">
        <v>381</v>
      </c>
      <c r="D104" s="7" t="s">
        <v>279</v>
      </c>
      <c r="E104" s="19">
        <v>0.0</v>
      </c>
      <c r="F104" s="19">
        <v>0.0</v>
      </c>
      <c r="G104" s="19">
        <v>0.0</v>
      </c>
      <c r="H104" s="6">
        <f>E104*PV_SESSION+F104*PV_CHALLENGE+G104*PV_WIN</f>
        <v>0</v>
      </c>
    </row>
    <row r="105" ht="15.75" customHeight="1">
      <c r="A105" s="7" t="s">
        <v>177</v>
      </c>
      <c r="B105" s="7" t="s">
        <v>178</v>
      </c>
      <c r="C105" s="7" t="s">
        <v>382</v>
      </c>
      <c r="D105" s="7" t="s">
        <v>281</v>
      </c>
      <c r="E105" s="19">
        <v>0.0</v>
      </c>
      <c r="F105" s="19">
        <v>0.0</v>
      </c>
      <c r="G105" s="19">
        <v>0.0</v>
      </c>
      <c r="H105" s="6">
        <f>E105*PV_SESSION+F105*PV_CHALLENGE+G105*PV_WIN</f>
        <v>0</v>
      </c>
    </row>
    <row r="106" ht="15.75" customHeight="1">
      <c r="A106" s="7" t="s">
        <v>179</v>
      </c>
      <c r="B106" s="7" t="s">
        <v>180</v>
      </c>
      <c r="C106" s="7" t="s">
        <v>383</v>
      </c>
      <c r="D106" s="7" t="s">
        <v>279</v>
      </c>
      <c r="E106" s="19">
        <v>0.0</v>
      </c>
      <c r="F106" s="19">
        <v>0.0</v>
      </c>
      <c r="G106" s="19">
        <v>0.0</v>
      </c>
      <c r="H106" s="6">
        <f>E106*PV_SESSION+F106*PV_CHALLENGE+G106*PV_WIN</f>
        <v>0</v>
      </c>
    </row>
    <row r="107" ht="15.75" customHeight="1">
      <c r="A107" s="7" t="s">
        <v>179</v>
      </c>
      <c r="B107" s="7" t="s">
        <v>180</v>
      </c>
      <c r="C107" s="7" t="s">
        <v>384</v>
      </c>
      <c r="D107" s="7" t="s">
        <v>281</v>
      </c>
      <c r="E107" s="19">
        <v>0.0</v>
      </c>
      <c r="F107" s="19">
        <v>0.0</v>
      </c>
      <c r="G107" s="19">
        <v>0.0</v>
      </c>
      <c r="H107" s="6">
        <f>E107*PV_SESSION+F107*PV_CHALLENGE+G107*PV_WIN</f>
        <v>0</v>
      </c>
    </row>
    <row r="108" ht="15.75" customHeight="1">
      <c r="A108" s="7" t="s">
        <v>179</v>
      </c>
      <c r="B108" s="7" t="s">
        <v>180</v>
      </c>
      <c r="C108" s="7" t="s">
        <v>385</v>
      </c>
      <c r="D108" s="7" t="s">
        <v>281</v>
      </c>
      <c r="E108" s="19">
        <v>0.0</v>
      </c>
      <c r="F108" s="19">
        <v>0.0</v>
      </c>
      <c r="G108" s="19">
        <v>0.0</v>
      </c>
      <c r="H108" s="6">
        <f>E108*PV_SESSION+F108*PV_CHALLENGE+G108*PV_WIN</f>
        <v>0</v>
      </c>
    </row>
    <row r="109" ht="15.75" customHeight="1">
      <c r="A109" s="7" t="s">
        <v>179</v>
      </c>
      <c r="B109" s="7" t="s">
        <v>180</v>
      </c>
      <c r="C109" s="7" t="s">
        <v>386</v>
      </c>
      <c r="D109" s="7" t="s">
        <v>281</v>
      </c>
      <c r="E109" s="19">
        <v>0.0</v>
      </c>
      <c r="F109" s="19">
        <v>0.0</v>
      </c>
      <c r="G109" s="19">
        <v>0.0</v>
      </c>
      <c r="H109" s="6">
        <f>E109*PV_SESSION+F109*PV_CHALLENGE+G109*PV_WIN</f>
        <v>0</v>
      </c>
    </row>
    <row r="110" ht="15.75" customHeight="1">
      <c r="A110" s="7" t="s">
        <v>181</v>
      </c>
      <c r="B110" s="7" t="s">
        <v>182</v>
      </c>
      <c r="C110" s="7" t="s">
        <v>387</v>
      </c>
      <c r="D110" s="7" t="s">
        <v>279</v>
      </c>
      <c r="E110" s="19">
        <v>0.0</v>
      </c>
      <c r="F110" s="19">
        <v>0.0</v>
      </c>
      <c r="G110" s="19">
        <v>0.0</v>
      </c>
      <c r="H110" s="6">
        <f>E110*PV_SESSION+F110*PV_CHALLENGE+G110*PV_WIN</f>
        <v>0</v>
      </c>
    </row>
    <row r="111" ht="15.75" customHeight="1">
      <c r="A111" s="7" t="s">
        <v>181</v>
      </c>
      <c r="B111" s="7" t="s">
        <v>182</v>
      </c>
      <c r="C111" s="7" t="s">
        <v>388</v>
      </c>
      <c r="D111" s="7" t="s">
        <v>281</v>
      </c>
      <c r="E111" s="19">
        <v>0.0</v>
      </c>
      <c r="F111" s="19">
        <v>0.0</v>
      </c>
      <c r="G111" s="19">
        <v>0.0</v>
      </c>
      <c r="H111" s="6">
        <f>E111*PV_SESSION+F111*PV_CHALLENGE+G111*PV_WIN</f>
        <v>0</v>
      </c>
    </row>
    <row r="112" ht="15.75" customHeight="1">
      <c r="A112" s="7" t="s">
        <v>183</v>
      </c>
      <c r="B112" s="7" t="s">
        <v>184</v>
      </c>
      <c r="C112" s="7" t="s">
        <v>389</v>
      </c>
      <c r="D112" s="7" t="s">
        <v>279</v>
      </c>
      <c r="E112" s="19">
        <v>0.0</v>
      </c>
      <c r="F112" s="19">
        <v>0.0</v>
      </c>
      <c r="G112" s="19">
        <v>0.0</v>
      </c>
      <c r="H112" s="6">
        <f>E112*PV_SESSION+F112*PV_CHALLENGE+G112*PV_WIN</f>
        <v>0</v>
      </c>
    </row>
    <row r="113" ht="15.75" customHeight="1">
      <c r="A113" s="7" t="s">
        <v>183</v>
      </c>
      <c r="B113" s="7" t="s">
        <v>184</v>
      </c>
      <c r="C113" s="7" t="s">
        <v>390</v>
      </c>
      <c r="D113" s="7" t="s">
        <v>281</v>
      </c>
      <c r="E113" s="19">
        <v>0.0</v>
      </c>
      <c r="F113" s="19">
        <v>0.0</v>
      </c>
      <c r="G113" s="19">
        <v>0.0</v>
      </c>
      <c r="H113" s="6">
        <f>E113*PV_SESSION+F113*PV_CHALLENGE+G113*PV_WIN</f>
        <v>0</v>
      </c>
    </row>
    <row r="114" ht="15.75" customHeight="1">
      <c r="A114" s="7" t="s">
        <v>185</v>
      </c>
      <c r="B114" s="7" t="s">
        <v>186</v>
      </c>
      <c r="C114" s="7" t="s">
        <v>391</v>
      </c>
      <c r="D114" s="7" t="s">
        <v>279</v>
      </c>
      <c r="E114" s="19">
        <v>0.0</v>
      </c>
      <c r="F114" s="19">
        <v>0.0</v>
      </c>
      <c r="G114" s="19">
        <v>0.0</v>
      </c>
      <c r="H114" s="6">
        <f>E114*PV_SESSION+F114*PV_CHALLENGE+G114*PV_WIN</f>
        <v>0</v>
      </c>
    </row>
    <row r="115" ht="15.75" customHeight="1">
      <c r="A115" s="7" t="s">
        <v>185</v>
      </c>
      <c r="B115" s="7" t="s">
        <v>186</v>
      </c>
      <c r="C115" s="7" t="s">
        <v>392</v>
      </c>
      <c r="D115" s="7" t="s">
        <v>281</v>
      </c>
      <c r="E115" s="19">
        <v>0.0</v>
      </c>
      <c r="F115" s="19">
        <v>0.0</v>
      </c>
      <c r="G115" s="19">
        <v>0.0</v>
      </c>
      <c r="H115" s="6">
        <f>E115*PV_SESSION+F115*PV_CHALLENGE+G115*PV_WIN</f>
        <v>0</v>
      </c>
    </row>
    <row r="116" ht="15.75" customHeight="1">
      <c r="A116" s="7" t="s">
        <v>185</v>
      </c>
      <c r="B116" s="7" t="s">
        <v>186</v>
      </c>
      <c r="C116" s="7" t="s">
        <v>393</v>
      </c>
      <c r="D116" s="7" t="s">
        <v>281</v>
      </c>
      <c r="E116" s="19">
        <v>0.0</v>
      </c>
      <c r="F116" s="19">
        <v>0.0</v>
      </c>
      <c r="G116" s="19">
        <v>0.0</v>
      </c>
      <c r="H116" s="6">
        <f>E116*PV_SESSION+F116*PV_CHALLENGE+G116*PV_WIN</f>
        <v>0</v>
      </c>
    </row>
    <row r="117" ht="15.75" customHeight="1">
      <c r="A117" s="7" t="s">
        <v>187</v>
      </c>
      <c r="B117" s="7" t="s">
        <v>188</v>
      </c>
      <c r="C117" s="7" t="s">
        <v>394</v>
      </c>
      <c r="D117" s="7" t="s">
        <v>279</v>
      </c>
      <c r="E117" s="19">
        <v>0.0</v>
      </c>
      <c r="F117" s="19">
        <v>0.0</v>
      </c>
      <c r="G117" s="19">
        <v>0.0</v>
      </c>
      <c r="H117" s="6">
        <f>E117*PV_SESSION+F117*PV_CHALLENGE+G117*PV_WIN</f>
        <v>0</v>
      </c>
    </row>
    <row r="118" ht="15.75" customHeight="1">
      <c r="A118" s="7" t="s">
        <v>187</v>
      </c>
      <c r="B118" s="7" t="s">
        <v>188</v>
      </c>
      <c r="C118" s="7" t="s">
        <v>395</v>
      </c>
      <c r="D118" s="7" t="s">
        <v>281</v>
      </c>
      <c r="E118" s="19">
        <v>0.0</v>
      </c>
      <c r="F118" s="19">
        <v>0.0</v>
      </c>
      <c r="G118" s="19">
        <v>0.0</v>
      </c>
      <c r="H118" s="6">
        <f>E118*PV_SESSION+F118*PV_CHALLENGE+G118*PV_WIN</f>
        <v>0</v>
      </c>
    </row>
    <row r="119" ht="15.75" customHeight="1">
      <c r="A119" s="7" t="s">
        <v>187</v>
      </c>
      <c r="B119" s="7" t="s">
        <v>188</v>
      </c>
      <c r="C119" s="7" t="s">
        <v>396</v>
      </c>
      <c r="D119" s="7" t="s">
        <v>281</v>
      </c>
      <c r="E119" s="19">
        <v>0.0</v>
      </c>
      <c r="F119" s="19">
        <v>0.0</v>
      </c>
      <c r="G119" s="19">
        <v>0.0</v>
      </c>
      <c r="H119" s="6">
        <f>E119*PV_SESSION+F119*PV_CHALLENGE+G119*PV_WIN</f>
        <v>0</v>
      </c>
    </row>
    <row r="120" ht="15.75" customHeight="1">
      <c r="A120" s="7" t="s">
        <v>189</v>
      </c>
      <c r="B120" s="7" t="s">
        <v>190</v>
      </c>
      <c r="C120" s="7" t="s">
        <v>397</v>
      </c>
      <c r="D120" s="7" t="s">
        <v>279</v>
      </c>
      <c r="E120" s="19">
        <v>0.0</v>
      </c>
      <c r="F120" s="19">
        <v>0.0</v>
      </c>
      <c r="G120" s="19">
        <v>0.0</v>
      </c>
      <c r="H120" s="6">
        <f>E120*PV_SESSION+F120*PV_CHALLENGE+G120*PV_WIN</f>
        <v>0</v>
      </c>
    </row>
    <row r="121" ht="15.75" customHeight="1">
      <c r="A121" s="7" t="s">
        <v>191</v>
      </c>
      <c r="B121" s="7" t="s">
        <v>192</v>
      </c>
      <c r="C121" s="7" t="s">
        <v>398</v>
      </c>
      <c r="D121" s="7" t="s">
        <v>279</v>
      </c>
      <c r="E121" s="19">
        <v>0.0</v>
      </c>
      <c r="F121" s="19">
        <v>0.0</v>
      </c>
      <c r="G121" s="19">
        <v>0.0</v>
      </c>
      <c r="H121" s="6">
        <f>E121*PV_SESSION+F121*PV_CHALLENGE+G121*PV_WIN</f>
        <v>0</v>
      </c>
    </row>
    <row r="122" ht="15.75" customHeight="1">
      <c r="A122" s="7" t="s">
        <v>193</v>
      </c>
      <c r="B122" s="7" t="s">
        <v>194</v>
      </c>
      <c r="C122" s="7" t="s">
        <v>399</v>
      </c>
      <c r="D122" s="7" t="s">
        <v>279</v>
      </c>
      <c r="E122" s="19">
        <v>0.0</v>
      </c>
      <c r="F122" s="19">
        <v>0.0</v>
      </c>
      <c r="G122" s="19">
        <v>0.0</v>
      </c>
      <c r="H122" s="6">
        <f>E122*PV_SESSION+F122*PV_CHALLENGE+G122*PV_WIN</f>
        <v>0</v>
      </c>
    </row>
    <row r="123" ht="15.75" customHeight="1">
      <c r="A123" s="7" t="s">
        <v>195</v>
      </c>
      <c r="B123" s="7" t="s">
        <v>196</v>
      </c>
      <c r="C123" s="7" t="s">
        <v>400</v>
      </c>
      <c r="D123" s="7" t="s">
        <v>279</v>
      </c>
      <c r="E123" s="19">
        <v>0.0</v>
      </c>
      <c r="F123" s="19">
        <v>0.0</v>
      </c>
      <c r="G123" s="19">
        <v>0.0</v>
      </c>
      <c r="H123" s="6">
        <f>E123*PV_SESSION+F123*PV_CHALLENGE+G123*PV_WIN</f>
        <v>0</v>
      </c>
    </row>
    <row r="124" ht="15.75" customHeight="1">
      <c r="A124" s="7" t="s">
        <v>197</v>
      </c>
      <c r="B124" s="7" t="s">
        <v>198</v>
      </c>
      <c r="C124" s="7" t="s">
        <v>401</v>
      </c>
      <c r="D124" s="7" t="s">
        <v>279</v>
      </c>
      <c r="E124" s="19">
        <v>0.0</v>
      </c>
      <c r="F124" s="19">
        <v>0.0</v>
      </c>
      <c r="G124" s="19">
        <v>0.0</v>
      </c>
      <c r="H124" s="6">
        <f>E124*PV_SESSION+F124*PV_CHALLENGE+G124*PV_WIN</f>
        <v>0</v>
      </c>
    </row>
    <row r="125" ht="15.75" customHeight="1">
      <c r="A125" s="7" t="s">
        <v>197</v>
      </c>
      <c r="B125" s="7" t="s">
        <v>198</v>
      </c>
      <c r="C125" s="7" t="s">
        <v>402</v>
      </c>
      <c r="D125" s="7" t="s">
        <v>281</v>
      </c>
      <c r="E125" s="19">
        <v>0.0</v>
      </c>
      <c r="F125" s="19">
        <v>0.0</v>
      </c>
      <c r="G125" s="19">
        <v>0.0</v>
      </c>
      <c r="H125" s="6">
        <f>E125*PV_SESSION+F125*PV_CHALLENGE+G125*PV_WIN</f>
        <v>0</v>
      </c>
    </row>
    <row r="126" ht="15.75" customHeight="1">
      <c r="A126" s="7" t="s">
        <v>199</v>
      </c>
      <c r="B126" s="7" t="s">
        <v>200</v>
      </c>
      <c r="C126" s="7" t="s">
        <v>403</v>
      </c>
      <c r="D126" s="7" t="s">
        <v>279</v>
      </c>
      <c r="E126" s="19">
        <v>0.0</v>
      </c>
      <c r="F126" s="19">
        <v>0.0</v>
      </c>
      <c r="G126" s="19">
        <v>0.0</v>
      </c>
      <c r="H126" s="6">
        <f>E126*PV_SESSION+F126*PV_CHALLENGE+G126*PV_WIN</f>
        <v>0</v>
      </c>
    </row>
    <row r="127" ht="15.75" customHeight="1">
      <c r="A127" s="7" t="s">
        <v>201</v>
      </c>
      <c r="B127" s="7" t="s">
        <v>202</v>
      </c>
      <c r="C127" s="7" t="s">
        <v>404</v>
      </c>
      <c r="D127" s="7" t="s">
        <v>279</v>
      </c>
      <c r="E127" s="19">
        <v>0.0</v>
      </c>
      <c r="F127" s="19">
        <v>0.0</v>
      </c>
      <c r="G127" s="19">
        <v>0.0</v>
      </c>
      <c r="H127" s="6">
        <f>E127*PV_SESSION+F127*PV_CHALLENGE+G127*PV_WIN</f>
        <v>0</v>
      </c>
    </row>
    <row r="128" ht="15.75" customHeight="1">
      <c r="A128" s="7" t="s">
        <v>203</v>
      </c>
      <c r="B128" s="7" t="s">
        <v>204</v>
      </c>
      <c r="C128" s="7" t="s">
        <v>405</v>
      </c>
      <c r="D128" s="7" t="s">
        <v>279</v>
      </c>
      <c r="E128" s="19">
        <v>0.0</v>
      </c>
      <c r="F128" s="19">
        <v>0.0</v>
      </c>
      <c r="G128" s="19">
        <v>0.0</v>
      </c>
      <c r="H128" s="6">
        <f>E128*PV_SESSION+F128*PV_CHALLENGE+G128*PV_WIN</f>
        <v>0</v>
      </c>
    </row>
    <row r="129" ht="15.75" customHeight="1">
      <c r="A129" s="7" t="s">
        <v>203</v>
      </c>
      <c r="B129" s="7" t="s">
        <v>204</v>
      </c>
      <c r="C129" s="7" t="s">
        <v>406</v>
      </c>
      <c r="D129" s="7" t="s">
        <v>281</v>
      </c>
      <c r="E129" s="19">
        <v>0.0</v>
      </c>
      <c r="F129" s="19">
        <v>0.0</v>
      </c>
      <c r="G129" s="19">
        <v>0.0</v>
      </c>
      <c r="H129" s="6">
        <f>E129*PV_SESSION+F129*PV_CHALLENGE+G129*PV_WIN</f>
        <v>0</v>
      </c>
    </row>
    <row r="130" ht="15.75" customHeight="1">
      <c r="A130" s="7" t="s">
        <v>205</v>
      </c>
      <c r="B130" s="7" t="s">
        <v>206</v>
      </c>
      <c r="C130" s="7" t="s">
        <v>407</v>
      </c>
      <c r="D130" s="7" t="s">
        <v>279</v>
      </c>
      <c r="E130" s="19">
        <v>0.0</v>
      </c>
      <c r="F130" s="19">
        <v>0.0</v>
      </c>
      <c r="G130" s="19">
        <v>0.0</v>
      </c>
      <c r="H130" s="6">
        <f>E130*PV_SESSION+F130*PV_CHALLENGE+G130*PV_WIN</f>
        <v>0</v>
      </c>
    </row>
    <row r="131" ht="15.75" customHeight="1">
      <c r="A131" s="7" t="s">
        <v>207</v>
      </c>
      <c r="B131" s="7" t="s">
        <v>208</v>
      </c>
      <c r="C131" s="7" t="s">
        <v>408</v>
      </c>
      <c r="D131" s="7" t="s">
        <v>279</v>
      </c>
      <c r="E131" s="19">
        <v>0.0</v>
      </c>
      <c r="F131" s="19">
        <v>0.0</v>
      </c>
      <c r="G131" s="19">
        <v>0.0</v>
      </c>
      <c r="H131" s="6">
        <f>E131*PV_SESSION+F131*PV_CHALLENGE+G131*PV_WIN</f>
        <v>0</v>
      </c>
    </row>
    <row r="132" ht="15.75" customHeight="1">
      <c r="A132" s="7" t="s">
        <v>207</v>
      </c>
      <c r="B132" s="7" t="s">
        <v>208</v>
      </c>
      <c r="C132" s="7" t="s">
        <v>409</v>
      </c>
      <c r="D132" s="7" t="s">
        <v>281</v>
      </c>
      <c r="E132" s="19">
        <v>0.0</v>
      </c>
      <c r="F132" s="19">
        <v>0.0</v>
      </c>
      <c r="G132" s="19">
        <v>0.0</v>
      </c>
      <c r="H132" s="6">
        <f>E132*PV_SESSION+F132*PV_CHALLENGE+G132*PV_WIN</f>
        <v>0</v>
      </c>
    </row>
    <row r="133" ht="15.75" customHeight="1">
      <c r="A133" s="7" t="s">
        <v>207</v>
      </c>
      <c r="B133" s="7" t="s">
        <v>208</v>
      </c>
      <c r="C133" s="7" t="s">
        <v>410</v>
      </c>
      <c r="D133" s="7" t="s">
        <v>281</v>
      </c>
      <c r="E133" s="19">
        <v>0.0</v>
      </c>
      <c r="F133" s="19">
        <v>0.0</v>
      </c>
      <c r="G133" s="19">
        <v>0.0</v>
      </c>
      <c r="H133" s="6">
        <f>E133*PV_SESSION+F133*PV_CHALLENGE+G133*PV_WIN</f>
        <v>0</v>
      </c>
    </row>
    <row r="134" ht="15.75" customHeight="1">
      <c r="A134" s="7" t="s">
        <v>209</v>
      </c>
      <c r="B134" s="7" t="s">
        <v>210</v>
      </c>
      <c r="C134" s="7" t="s">
        <v>411</v>
      </c>
      <c r="D134" s="7" t="s">
        <v>279</v>
      </c>
      <c r="E134" s="19">
        <v>0.0</v>
      </c>
      <c r="F134" s="19">
        <v>0.0</v>
      </c>
      <c r="G134" s="19">
        <v>0.0</v>
      </c>
      <c r="H134" s="6">
        <f>E134*PV_SESSION+F134*PV_CHALLENGE+G134*PV_WIN</f>
        <v>0</v>
      </c>
    </row>
    <row r="135" ht="15.75" customHeight="1">
      <c r="A135" s="7" t="s">
        <v>209</v>
      </c>
      <c r="B135" s="7" t="s">
        <v>210</v>
      </c>
      <c r="C135" s="7" t="s">
        <v>412</v>
      </c>
      <c r="D135" s="7" t="s">
        <v>281</v>
      </c>
      <c r="E135" s="19">
        <v>0.0</v>
      </c>
      <c r="F135" s="19">
        <v>0.0</v>
      </c>
      <c r="G135" s="19">
        <v>0.0</v>
      </c>
      <c r="H135" s="6">
        <f>E135*PV_SESSION+F135*PV_CHALLENGE+G135*PV_WIN</f>
        <v>0</v>
      </c>
    </row>
    <row r="136" ht="15.75" customHeight="1">
      <c r="A136" s="7" t="s">
        <v>209</v>
      </c>
      <c r="B136" s="7" t="s">
        <v>210</v>
      </c>
      <c r="C136" s="7" t="s">
        <v>413</v>
      </c>
      <c r="D136" s="7" t="s">
        <v>281</v>
      </c>
      <c r="E136" s="19">
        <v>0.0</v>
      </c>
      <c r="F136" s="19">
        <v>0.0</v>
      </c>
      <c r="G136" s="19">
        <v>0.0</v>
      </c>
      <c r="H136" s="6">
        <f>E136*PV_SESSION+F136*PV_CHALLENGE+G136*PV_WIN</f>
        <v>0</v>
      </c>
    </row>
    <row r="137" ht="15.75" customHeight="1">
      <c r="A137" s="7" t="s">
        <v>211</v>
      </c>
      <c r="B137" s="7" t="s">
        <v>212</v>
      </c>
      <c r="C137" s="7" t="s">
        <v>414</v>
      </c>
      <c r="D137" s="7" t="s">
        <v>279</v>
      </c>
      <c r="E137" s="19">
        <v>0.0</v>
      </c>
      <c r="F137" s="19">
        <v>0.0</v>
      </c>
      <c r="G137" s="19">
        <v>0.0</v>
      </c>
      <c r="H137" s="6">
        <f>E137*PV_SESSION+F137*PV_CHALLENGE+G137*PV_WIN</f>
        <v>0</v>
      </c>
    </row>
    <row r="138" ht="15.75" customHeight="1">
      <c r="A138" s="7" t="s">
        <v>213</v>
      </c>
      <c r="B138" s="7" t="s">
        <v>214</v>
      </c>
      <c r="C138" s="7" t="s">
        <v>415</v>
      </c>
      <c r="D138" s="7" t="s">
        <v>279</v>
      </c>
      <c r="E138" s="19">
        <v>0.0</v>
      </c>
      <c r="F138" s="19">
        <v>0.0</v>
      </c>
      <c r="G138" s="19">
        <v>0.0</v>
      </c>
      <c r="H138" s="6">
        <f>E138*PV_SESSION+F138*PV_CHALLENGE+G138*PV_WIN</f>
        <v>0</v>
      </c>
    </row>
    <row r="139" ht="15.75" customHeight="1">
      <c r="A139" s="7" t="s">
        <v>213</v>
      </c>
      <c r="B139" s="7" t="s">
        <v>214</v>
      </c>
      <c r="C139" s="7" t="s">
        <v>416</v>
      </c>
      <c r="D139" s="7" t="s">
        <v>281</v>
      </c>
      <c r="E139" s="19">
        <v>0.0</v>
      </c>
      <c r="F139" s="19">
        <v>0.0</v>
      </c>
      <c r="G139" s="19">
        <v>0.0</v>
      </c>
      <c r="H139" s="6">
        <f>E139*PV_SESSION+F139*PV_CHALLENGE+G139*PV_WIN</f>
        <v>0</v>
      </c>
    </row>
    <row r="140" ht="15.75" customHeight="1">
      <c r="A140" s="7" t="s">
        <v>215</v>
      </c>
      <c r="B140" s="7" t="s">
        <v>216</v>
      </c>
      <c r="C140" s="7" t="s">
        <v>417</v>
      </c>
      <c r="D140" s="7" t="s">
        <v>279</v>
      </c>
      <c r="E140" s="19">
        <v>0.0</v>
      </c>
      <c r="F140" s="19">
        <v>0.0</v>
      </c>
      <c r="G140" s="19">
        <v>0.0</v>
      </c>
      <c r="H140" s="6">
        <f>E140*PV_SESSION+F140*PV_CHALLENGE+G140*PV_WIN</f>
        <v>0</v>
      </c>
    </row>
    <row r="141" ht="15.75" customHeight="1">
      <c r="A141" s="7" t="s">
        <v>215</v>
      </c>
      <c r="B141" s="7" t="s">
        <v>216</v>
      </c>
      <c r="C141" s="7" t="s">
        <v>417</v>
      </c>
      <c r="D141" s="7" t="s">
        <v>281</v>
      </c>
      <c r="E141" s="19">
        <v>0.0</v>
      </c>
      <c r="F141" s="19">
        <v>0.0</v>
      </c>
      <c r="G141" s="19">
        <v>0.0</v>
      </c>
      <c r="H141" s="6">
        <f>E141*PV_SESSION+F141*PV_CHALLENGE+G141*PV_WIN</f>
        <v>0</v>
      </c>
    </row>
    <row r="142" ht="15.75" customHeight="1">
      <c r="A142" s="7" t="s">
        <v>217</v>
      </c>
      <c r="B142" s="7" t="s">
        <v>218</v>
      </c>
      <c r="C142" s="7" t="s">
        <v>418</v>
      </c>
      <c r="D142" s="7" t="s">
        <v>279</v>
      </c>
      <c r="E142" s="19">
        <v>0.0</v>
      </c>
      <c r="F142" s="19">
        <v>0.0</v>
      </c>
      <c r="G142" s="19">
        <v>0.0</v>
      </c>
      <c r="H142" s="6">
        <f>E142*PV_SESSION+F142*PV_CHALLENGE+G142*PV_WIN</f>
        <v>0</v>
      </c>
    </row>
    <row r="143" ht="15.75" customHeight="1">
      <c r="A143" s="7" t="s">
        <v>217</v>
      </c>
      <c r="B143" s="7" t="s">
        <v>218</v>
      </c>
      <c r="C143" s="7" t="s">
        <v>419</v>
      </c>
      <c r="D143" s="7" t="s">
        <v>281</v>
      </c>
      <c r="E143" s="19">
        <v>0.0</v>
      </c>
      <c r="F143" s="19">
        <v>0.0</v>
      </c>
      <c r="G143" s="19">
        <v>0.0</v>
      </c>
      <c r="H143" s="6">
        <f>E143*PV_SESSION+F143*PV_CHALLENGE+G143*PV_WIN</f>
        <v>0</v>
      </c>
    </row>
    <row r="144" ht="15.75" customHeight="1">
      <c r="A144" s="7" t="s">
        <v>217</v>
      </c>
      <c r="B144" s="7" t="s">
        <v>218</v>
      </c>
      <c r="C144" s="7" t="s">
        <v>420</v>
      </c>
      <c r="D144" s="7" t="s">
        <v>281</v>
      </c>
      <c r="E144" s="19">
        <v>0.0</v>
      </c>
      <c r="F144" s="19">
        <v>0.0</v>
      </c>
      <c r="G144" s="19">
        <v>0.0</v>
      </c>
      <c r="H144" s="6">
        <f>E144*PV_SESSION+F144*PV_CHALLENGE+G144*PV_WIN</f>
        <v>0</v>
      </c>
    </row>
    <row r="145" ht="15.75" customHeight="1">
      <c r="A145" s="7" t="s">
        <v>217</v>
      </c>
      <c r="B145" s="7" t="s">
        <v>218</v>
      </c>
      <c r="C145" s="7" t="s">
        <v>421</v>
      </c>
      <c r="D145" s="7" t="s">
        <v>281</v>
      </c>
      <c r="E145" s="19">
        <v>0.0</v>
      </c>
      <c r="F145" s="19">
        <v>0.0</v>
      </c>
      <c r="G145" s="19">
        <v>0.0</v>
      </c>
      <c r="H145" s="6">
        <f>E145*PV_SESSION+F145*PV_CHALLENGE+G145*PV_WIN</f>
        <v>0</v>
      </c>
    </row>
    <row r="146" ht="15.75" customHeight="1">
      <c r="A146" s="7" t="s">
        <v>219</v>
      </c>
      <c r="B146" s="7" t="s">
        <v>220</v>
      </c>
      <c r="C146" s="7" t="s">
        <v>422</v>
      </c>
      <c r="D146" s="7" t="s">
        <v>279</v>
      </c>
      <c r="E146" s="19">
        <v>0.0</v>
      </c>
      <c r="F146" s="19">
        <v>0.0</v>
      </c>
      <c r="G146" s="19">
        <v>0.0</v>
      </c>
      <c r="H146" s="6">
        <f>E146*PV_SESSION+F146*PV_CHALLENGE+G146*PV_WIN</f>
        <v>0</v>
      </c>
    </row>
    <row r="147" ht="15.75" customHeight="1">
      <c r="A147" s="7" t="s">
        <v>219</v>
      </c>
      <c r="B147" s="7" t="s">
        <v>220</v>
      </c>
      <c r="C147" s="7" t="s">
        <v>423</v>
      </c>
      <c r="D147" s="7" t="s">
        <v>281</v>
      </c>
      <c r="E147" s="19">
        <v>0.0</v>
      </c>
      <c r="F147" s="19">
        <v>0.0</v>
      </c>
      <c r="G147" s="19">
        <v>0.0</v>
      </c>
      <c r="H147" s="6">
        <f>E147*PV_SESSION+F147*PV_CHALLENGE+G147*PV_WIN</f>
        <v>0</v>
      </c>
    </row>
    <row r="148" ht="15.75" customHeight="1">
      <c r="A148" s="7" t="s">
        <v>219</v>
      </c>
      <c r="B148" s="7" t="s">
        <v>220</v>
      </c>
      <c r="C148" s="7" t="s">
        <v>424</v>
      </c>
      <c r="D148" s="7" t="s">
        <v>281</v>
      </c>
      <c r="E148" s="19">
        <v>0.0</v>
      </c>
      <c r="F148" s="19">
        <v>0.0</v>
      </c>
      <c r="G148" s="19">
        <v>0.0</v>
      </c>
      <c r="H148" s="6">
        <f>E148*PV_SESSION+F148*PV_CHALLENGE+G148*PV_WIN</f>
        <v>0</v>
      </c>
    </row>
    <row r="149" ht="15.75" customHeight="1">
      <c r="A149" s="7" t="s">
        <v>219</v>
      </c>
      <c r="B149" s="7" t="s">
        <v>220</v>
      </c>
      <c r="C149" s="7" t="s">
        <v>425</v>
      </c>
      <c r="D149" s="7" t="s">
        <v>281</v>
      </c>
      <c r="E149" s="19">
        <v>0.0</v>
      </c>
      <c r="F149" s="19">
        <v>0.0</v>
      </c>
      <c r="G149" s="19">
        <v>0.0</v>
      </c>
      <c r="H149" s="6">
        <f>E149*PV_SESSION+F149*PV_CHALLENGE+G149*PV_WIN</f>
        <v>0</v>
      </c>
    </row>
    <row r="150" ht="15.75" customHeight="1">
      <c r="A150" s="7" t="s">
        <v>221</v>
      </c>
      <c r="B150" s="7" t="s">
        <v>222</v>
      </c>
      <c r="C150" s="7" t="s">
        <v>426</v>
      </c>
      <c r="D150" s="7" t="s">
        <v>279</v>
      </c>
      <c r="E150" s="19">
        <v>0.0</v>
      </c>
      <c r="F150" s="19">
        <v>0.0</v>
      </c>
      <c r="G150" s="19">
        <v>0.0</v>
      </c>
      <c r="H150" s="6">
        <f>E150*PV_SESSION+F150*PV_CHALLENGE+G150*PV_WIN</f>
        <v>0</v>
      </c>
    </row>
    <row r="151" ht="15.75" customHeight="1">
      <c r="A151" s="7" t="s">
        <v>221</v>
      </c>
      <c r="B151" s="7" t="s">
        <v>222</v>
      </c>
      <c r="C151" s="7" t="s">
        <v>427</v>
      </c>
      <c r="D151" s="7" t="s">
        <v>281</v>
      </c>
      <c r="E151" s="19">
        <v>0.0</v>
      </c>
      <c r="F151" s="19">
        <v>0.0</v>
      </c>
      <c r="G151" s="19">
        <v>0.0</v>
      </c>
      <c r="H151" s="6">
        <f>E151*PV_SESSION+F151*PV_CHALLENGE+G151*PV_WIN</f>
        <v>0</v>
      </c>
    </row>
    <row r="152" ht="15.75" customHeight="1">
      <c r="A152" s="7" t="s">
        <v>221</v>
      </c>
      <c r="B152" s="7" t="s">
        <v>222</v>
      </c>
      <c r="C152" s="7" t="s">
        <v>428</v>
      </c>
      <c r="D152" s="7" t="s">
        <v>281</v>
      </c>
      <c r="E152" s="19">
        <v>0.0</v>
      </c>
      <c r="F152" s="19">
        <v>0.0</v>
      </c>
      <c r="G152" s="19">
        <v>0.0</v>
      </c>
      <c r="H152" s="6">
        <f>E152*PV_SESSION+F152*PV_CHALLENGE+G152*PV_WIN</f>
        <v>0</v>
      </c>
    </row>
    <row r="153" ht="15.75" customHeight="1">
      <c r="A153" s="7" t="s">
        <v>223</v>
      </c>
      <c r="B153" s="7" t="s">
        <v>224</v>
      </c>
      <c r="C153" s="7" t="s">
        <v>429</v>
      </c>
      <c r="D153" s="7" t="s">
        <v>279</v>
      </c>
      <c r="E153" s="19">
        <v>0.0</v>
      </c>
      <c r="F153" s="19">
        <v>0.0</v>
      </c>
      <c r="G153" s="19">
        <v>0.0</v>
      </c>
      <c r="H153" s="6">
        <f>E153*PV_SESSION+F153*PV_CHALLENGE+G153*PV_WIN</f>
        <v>0</v>
      </c>
    </row>
    <row r="154" ht="15.75" customHeight="1">
      <c r="A154" s="7" t="s">
        <v>223</v>
      </c>
      <c r="B154" s="7" t="s">
        <v>224</v>
      </c>
      <c r="C154" s="7" t="s">
        <v>430</v>
      </c>
      <c r="D154" s="7" t="s">
        <v>281</v>
      </c>
      <c r="E154" s="19">
        <v>0.0</v>
      </c>
      <c r="F154" s="19">
        <v>0.0</v>
      </c>
      <c r="G154" s="19">
        <v>0.0</v>
      </c>
      <c r="H154" s="6">
        <f>E154*PV_SESSION+F154*PV_CHALLENGE+G154*PV_WIN</f>
        <v>0</v>
      </c>
    </row>
    <row r="155" ht="15.75" customHeight="1">
      <c r="A155" s="7" t="s">
        <v>223</v>
      </c>
      <c r="B155" s="7" t="s">
        <v>224</v>
      </c>
      <c r="C155" s="7" t="s">
        <v>431</v>
      </c>
      <c r="D155" s="7" t="s">
        <v>281</v>
      </c>
      <c r="E155" s="19">
        <v>0.0</v>
      </c>
      <c r="F155" s="19">
        <v>0.0</v>
      </c>
      <c r="G155" s="19">
        <v>0.0</v>
      </c>
      <c r="H155" s="6">
        <f>E155*PV_SESSION+F155*PV_CHALLENGE+G155*PV_WIN</f>
        <v>0</v>
      </c>
    </row>
    <row r="156" ht="15.75" customHeight="1">
      <c r="A156" s="7" t="s">
        <v>223</v>
      </c>
      <c r="B156" s="7" t="s">
        <v>224</v>
      </c>
      <c r="C156" s="7" t="s">
        <v>432</v>
      </c>
      <c r="D156" s="7" t="s">
        <v>281</v>
      </c>
      <c r="E156" s="19">
        <v>0.0</v>
      </c>
      <c r="F156" s="19">
        <v>0.0</v>
      </c>
      <c r="G156" s="19">
        <v>0.0</v>
      </c>
      <c r="H156" s="6">
        <f>E156*PV_SESSION+F156*PV_CHALLENGE+G156*PV_WIN</f>
        <v>0</v>
      </c>
    </row>
    <row r="157" ht="15.75" customHeight="1">
      <c r="A157" s="7" t="s">
        <v>225</v>
      </c>
      <c r="B157" s="7" t="s">
        <v>226</v>
      </c>
      <c r="C157" s="7" t="s">
        <v>433</v>
      </c>
      <c r="D157" s="7" t="s">
        <v>279</v>
      </c>
      <c r="E157" s="19">
        <v>0.0</v>
      </c>
      <c r="F157" s="19">
        <v>0.0</v>
      </c>
      <c r="G157" s="19">
        <v>0.0</v>
      </c>
      <c r="H157" s="6">
        <f>E157*PV_SESSION+F157*PV_CHALLENGE+G157*PV_WIN</f>
        <v>0</v>
      </c>
    </row>
    <row r="158" ht="15.75" customHeight="1">
      <c r="A158" s="7" t="s">
        <v>225</v>
      </c>
      <c r="B158" s="7" t="s">
        <v>226</v>
      </c>
      <c r="C158" s="7" t="s">
        <v>434</v>
      </c>
      <c r="D158" s="7" t="s">
        <v>281</v>
      </c>
      <c r="E158" s="19">
        <v>0.0</v>
      </c>
      <c r="F158" s="19">
        <v>0.0</v>
      </c>
      <c r="G158" s="19">
        <v>0.0</v>
      </c>
      <c r="H158" s="6">
        <f>E158*PV_SESSION+F158*PV_CHALLENGE+G158*PV_WIN</f>
        <v>0</v>
      </c>
    </row>
    <row r="159" ht="15.75" customHeight="1">
      <c r="A159" s="7" t="s">
        <v>227</v>
      </c>
      <c r="B159" s="7" t="s">
        <v>228</v>
      </c>
      <c r="C159" s="7" t="s">
        <v>435</v>
      </c>
      <c r="D159" s="7" t="s">
        <v>279</v>
      </c>
      <c r="E159" s="19">
        <v>0.0</v>
      </c>
      <c r="F159" s="19">
        <v>0.0</v>
      </c>
      <c r="G159" s="19">
        <v>0.0</v>
      </c>
      <c r="H159" s="6">
        <f>E159*PV_SESSION+F159*PV_CHALLENGE+G159*PV_WIN</f>
        <v>0</v>
      </c>
    </row>
    <row r="160" ht="15.75" customHeight="1">
      <c r="A160" s="7" t="s">
        <v>227</v>
      </c>
      <c r="B160" s="7" t="s">
        <v>228</v>
      </c>
      <c r="C160" s="7" t="s">
        <v>436</v>
      </c>
      <c r="D160" s="7" t="s">
        <v>281</v>
      </c>
      <c r="E160" s="19">
        <v>0.0</v>
      </c>
      <c r="F160" s="19">
        <v>0.0</v>
      </c>
      <c r="G160" s="19">
        <v>0.0</v>
      </c>
      <c r="H160" s="6">
        <f>E160*PV_SESSION+F160*PV_CHALLENGE+G160*PV_WIN</f>
        <v>0</v>
      </c>
    </row>
    <row r="161" ht="15.75" customHeight="1">
      <c r="A161" s="7" t="s">
        <v>229</v>
      </c>
      <c r="B161" s="7" t="s">
        <v>230</v>
      </c>
      <c r="C161" s="7" t="s">
        <v>437</v>
      </c>
      <c r="D161" s="7" t="s">
        <v>279</v>
      </c>
      <c r="E161" s="19">
        <v>0.0</v>
      </c>
      <c r="F161" s="19">
        <v>0.0</v>
      </c>
      <c r="G161" s="19">
        <v>0.0</v>
      </c>
      <c r="H161" s="6">
        <f>E161*PV_SESSION+F161*PV_CHALLENGE+G161*PV_WIN</f>
        <v>0</v>
      </c>
    </row>
    <row r="162" ht="15.75" customHeight="1">
      <c r="A162" s="7" t="s">
        <v>229</v>
      </c>
      <c r="B162" s="7" t="s">
        <v>230</v>
      </c>
      <c r="C162" s="7" t="s">
        <v>438</v>
      </c>
      <c r="D162" s="7" t="s">
        <v>281</v>
      </c>
      <c r="E162" s="19">
        <v>0.0</v>
      </c>
      <c r="F162" s="19">
        <v>0.0</v>
      </c>
      <c r="G162" s="19">
        <v>0.0</v>
      </c>
      <c r="H162" s="6">
        <f>E162*PV_SESSION+F162*PV_CHALLENGE+G162*PV_WIN</f>
        <v>0</v>
      </c>
    </row>
    <row r="163" ht="15.75" customHeight="1">
      <c r="A163" s="7" t="s">
        <v>229</v>
      </c>
      <c r="B163" s="7" t="s">
        <v>230</v>
      </c>
      <c r="C163" s="7" t="s">
        <v>439</v>
      </c>
      <c r="D163" s="7" t="s">
        <v>281</v>
      </c>
      <c r="E163" s="19">
        <v>0.0</v>
      </c>
      <c r="F163" s="19">
        <v>0.0</v>
      </c>
      <c r="G163" s="19">
        <v>0.0</v>
      </c>
      <c r="H163" s="6">
        <f>E163*PV_SESSION+F163*PV_CHALLENGE+G163*PV_WIN</f>
        <v>0</v>
      </c>
    </row>
    <row r="164" ht="15.75" customHeight="1">
      <c r="A164" s="7" t="s">
        <v>229</v>
      </c>
      <c r="B164" s="7" t="s">
        <v>230</v>
      </c>
      <c r="C164" s="7" t="s">
        <v>440</v>
      </c>
      <c r="D164" s="7" t="s">
        <v>281</v>
      </c>
      <c r="E164" s="19">
        <v>0.0</v>
      </c>
      <c r="F164" s="19">
        <v>0.0</v>
      </c>
      <c r="G164" s="19">
        <v>0.0</v>
      </c>
      <c r="H164" s="6">
        <f>E164*PV_SESSION+F164*PV_CHALLENGE+G164*PV_WIN</f>
        <v>0</v>
      </c>
    </row>
    <row r="165" ht="15.75" customHeight="1">
      <c r="A165" s="7" t="s">
        <v>231</v>
      </c>
      <c r="B165" s="7" t="s">
        <v>232</v>
      </c>
      <c r="C165" s="7" t="s">
        <v>441</v>
      </c>
      <c r="D165" s="7" t="s">
        <v>279</v>
      </c>
      <c r="E165" s="19">
        <v>0.0</v>
      </c>
      <c r="F165" s="19">
        <v>0.0</v>
      </c>
      <c r="G165" s="19">
        <v>0.0</v>
      </c>
      <c r="H165" s="6">
        <f>E165*PV_SESSION+F165*PV_CHALLENGE+G165*PV_WIN</f>
        <v>0</v>
      </c>
    </row>
    <row r="166" ht="15.75" customHeight="1">
      <c r="A166" s="7" t="s">
        <v>231</v>
      </c>
      <c r="B166" s="7" t="s">
        <v>232</v>
      </c>
      <c r="C166" s="7" t="s">
        <v>442</v>
      </c>
      <c r="D166" s="7" t="s">
        <v>281</v>
      </c>
      <c r="E166" s="19">
        <v>0.0</v>
      </c>
      <c r="F166" s="19">
        <v>0.0</v>
      </c>
      <c r="G166" s="19">
        <v>0.0</v>
      </c>
      <c r="H166" s="6">
        <f>E166*PV_SESSION+F166*PV_CHALLENGE+G166*PV_WIN</f>
        <v>0</v>
      </c>
    </row>
    <row r="167" ht="15.75" customHeight="1">
      <c r="A167" s="7" t="s">
        <v>233</v>
      </c>
      <c r="B167" s="7" t="s">
        <v>234</v>
      </c>
      <c r="C167" s="7" t="s">
        <v>443</v>
      </c>
      <c r="D167" s="7" t="s">
        <v>279</v>
      </c>
      <c r="E167" s="19">
        <v>0.0</v>
      </c>
      <c r="F167" s="19">
        <v>0.0</v>
      </c>
      <c r="G167" s="19">
        <v>0.0</v>
      </c>
      <c r="H167" s="6">
        <f>E167*PV_SESSION+F167*PV_CHALLENGE+G167*PV_WIN</f>
        <v>0</v>
      </c>
    </row>
    <row r="168" ht="15.75" customHeight="1">
      <c r="A168" s="7" t="s">
        <v>233</v>
      </c>
      <c r="B168" s="7" t="s">
        <v>234</v>
      </c>
      <c r="C168" s="7" t="s">
        <v>444</v>
      </c>
      <c r="D168" s="7" t="s">
        <v>281</v>
      </c>
      <c r="E168" s="19">
        <v>0.0</v>
      </c>
      <c r="F168" s="19">
        <v>0.0</v>
      </c>
      <c r="G168" s="19">
        <v>0.0</v>
      </c>
      <c r="H168" s="6">
        <f>E168*PV_SESSION+F168*PV_CHALLENGE+G168*PV_WIN</f>
        <v>0</v>
      </c>
    </row>
    <row r="169" ht="15.75" customHeight="1">
      <c r="A169" s="7" t="s">
        <v>235</v>
      </c>
      <c r="B169" s="7" t="s">
        <v>236</v>
      </c>
      <c r="C169" s="7" t="s">
        <v>445</v>
      </c>
      <c r="D169" s="7" t="s">
        <v>279</v>
      </c>
      <c r="E169" s="19">
        <v>0.0</v>
      </c>
      <c r="F169" s="19">
        <v>0.0</v>
      </c>
      <c r="G169" s="19">
        <v>0.0</v>
      </c>
      <c r="H169" s="6">
        <f>E169*PV_SESSION+F169*PV_CHALLENGE+G169*PV_WIN</f>
        <v>0</v>
      </c>
    </row>
    <row r="170" ht="15.75" customHeight="1">
      <c r="A170" s="7" t="s">
        <v>235</v>
      </c>
      <c r="B170" s="7" t="s">
        <v>236</v>
      </c>
      <c r="C170" s="7" t="s">
        <v>446</v>
      </c>
      <c r="D170" s="7" t="s">
        <v>281</v>
      </c>
      <c r="E170" s="19">
        <v>0.0</v>
      </c>
      <c r="F170" s="19">
        <v>0.0</v>
      </c>
      <c r="G170" s="19">
        <v>0.0</v>
      </c>
      <c r="H170" s="6">
        <f>E170*PV_SESSION+F170*PV_CHALLENGE+G170*PV_WIN</f>
        <v>0</v>
      </c>
    </row>
    <row r="171" ht="15.75" customHeight="1">
      <c r="A171" s="7" t="s">
        <v>237</v>
      </c>
      <c r="B171" s="7" t="s">
        <v>238</v>
      </c>
      <c r="C171" s="7" t="s">
        <v>447</v>
      </c>
      <c r="D171" s="7" t="s">
        <v>279</v>
      </c>
      <c r="E171" s="19">
        <v>0.0</v>
      </c>
      <c r="F171" s="19">
        <v>0.0</v>
      </c>
      <c r="G171" s="19">
        <v>0.0</v>
      </c>
      <c r="H171" s="6">
        <f>E171*PV_SESSION+F171*PV_CHALLENGE+G171*PV_WIN</f>
        <v>0</v>
      </c>
    </row>
    <row r="172" ht="15.75" customHeight="1">
      <c r="A172" s="7" t="s">
        <v>237</v>
      </c>
      <c r="B172" s="7" t="s">
        <v>238</v>
      </c>
      <c r="C172" s="7" t="s">
        <v>448</v>
      </c>
      <c r="D172" s="7" t="s">
        <v>281</v>
      </c>
      <c r="E172" s="19">
        <v>0.0</v>
      </c>
      <c r="F172" s="19">
        <v>0.0</v>
      </c>
      <c r="G172" s="19">
        <v>0.0</v>
      </c>
      <c r="H172" s="6">
        <f>E172*PV_SESSION+F172*PV_CHALLENGE+G172*PV_WIN</f>
        <v>0</v>
      </c>
    </row>
    <row r="173" ht="15.75" customHeight="1">
      <c r="A173" s="7" t="s">
        <v>239</v>
      </c>
      <c r="B173" s="7" t="s">
        <v>240</v>
      </c>
      <c r="C173" s="7" t="s">
        <v>449</v>
      </c>
      <c r="D173" s="7" t="s">
        <v>279</v>
      </c>
      <c r="E173" s="19">
        <v>0.0</v>
      </c>
      <c r="F173" s="19">
        <v>0.0</v>
      </c>
      <c r="G173" s="19">
        <v>0.0</v>
      </c>
      <c r="H173" s="6">
        <f>E173*PV_SESSION+F173*PV_CHALLENGE+G173*PV_WIN</f>
        <v>0</v>
      </c>
    </row>
    <row r="174" ht="15.75" customHeight="1">
      <c r="A174" s="7" t="s">
        <v>239</v>
      </c>
      <c r="B174" s="7" t="s">
        <v>240</v>
      </c>
      <c r="C174" s="7" t="s">
        <v>450</v>
      </c>
      <c r="D174" s="7" t="s">
        <v>281</v>
      </c>
      <c r="E174" s="19">
        <v>0.0</v>
      </c>
      <c r="F174" s="19">
        <v>0.0</v>
      </c>
      <c r="G174" s="19">
        <v>0.0</v>
      </c>
      <c r="H174" s="6">
        <f>E174*PV_SESSION+F174*PV_CHALLENGE+G174*PV_WIN</f>
        <v>0</v>
      </c>
    </row>
    <row r="175" ht="15.75" customHeight="1">
      <c r="A175" s="7" t="s">
        <v>241</v>
      </c>
      <c r="B175" s="7" t="s">
        <v>242</v>
      </c>
      <c r="C175" s="7" t="s">
        <v>301</v>
      </c>
      <c r="D175" s="7" t="s">
        <v>279</v>
      </c>
      <c r="E175" s="19">
        <v>0.0</v>
      </c>
      <c r="F175" s="19">
        <v>0.0</v>
      </c>
      <c r="G175" s="19">
        <v>0.0</v>
      </c>
      <c r="H175" s="6">
        <f>E175*PV_SESSION+F175*PV_CHALLENGE+G175*PV_WIN</f>
        <v>0</v>
      </c>
    </row>
    <row r="176" ht="15.75" customHeight="1">
      <c r="A176" s="7" t="s">
        <v>241</v>
      </c>
      <c r="B176" s="7" t="s">
        <v>242</v>
      </c>
      <c r="C176" s="7" t="s">
        <v>451</v>
      </c>
      <c r="D176" s="7" t="s">
        <v>281</v>
      </c>
      <c r="E176" s="19">
        <v>0.0</v>
      </c>
      <c r="F176" s="19">
        <v>0.0</v>
      </c>
      <c r="G176" s="19">
        <v>0.0</v>
      </c>
      <c r="H176" s="6">
        <f>E176*PV_SESSION+F176*PV_CHALLENGE+G176*PV_WIN</f>
        <v>0</v>
      </c>
    </row>
    <row r="177" ht="15.75" customHeight="1">
      <c r="A177" s="7" t="s">
        <v>243</v>
      </c>
      <c r="B177" s="7" t="s">
        <v>244</v>
      </c>
      <c r="C177" s="7" t="s">
        <v>452</v>
      </c>
      <c r="D177" s="7" t="s">
        <v>279</v>
      </c>
      <c r="E177" s="19">
        <v>0.0</v>
      </c>
      <c r="F177" s="19">
        <v>0.0</v>
      </c>
      <c r="G177" s="19">
        <v>0.0</v>
      </c>
      <c r="H177" s="6">
        <f>E177*PV_SESSION+F177*PV_CHALLENGE+G177*PV_WIN</f>
        <v>0</v>
      </c>
    </row>
    <row r="178" ht="15.75" customHeight="1">
      <c r="A178" s="7" t="s">
        <v>243</v>
      </c>
      <c r="B178" s="7" t="s">
        <v>244</v>
      </c>
      <c r="C178" s="7" t="s">
        <v>453</v>
      </c>
      <c r="D178" s="7" t="s">
        <v>281</v>
      </c>
      <c r="E178" s="19">
        <v>0.0</v>
      </c>
      <c r="F178" s="19">
        <v>0.0</v>
      </c>
      <c r="G178" s="19">
        <v>0.0</v>
      </c>
      <c r="H178" s="6">
        <f>E178*PV_SESSION+F178*PV_CHALLENGE+G178*PV_WIN</f>
        <v>0</v>
      </c>
    </row>
    <row r="179" ht="15.75" customHeight="1">
      <c r="A179" s="7" t="s">
        <v>245</v>
      </c>
      <c r="B179" s="7" t="s">
        <v>246</v>
      </c>
      <c r="C179" s="7" t="s">
        <v>294</v>
      </c>
      <c r="D179" s="7" t="s">
        <v>279</v>
      </c>
      <c r="E179" s="19">
        <v>0.0</v>
      </c>
      <c r="F179" s="19">
        <v>0.0</v>
      </c>
      <c r="G179" s="19">
        <v>0.0</v>
      </c>
      <c r="H179" s="6">
        <f>E179*PV_SESSION+F179*PV_CHALLENGE+G179*PV_WIN</f>
        <v>0</v>
      </c>
    </row>
    <row r="180" ht="15.75" customHeight="1">
      <c r="A180" s="7" t="s">
        <v>245</v>
      </c>
      <c r="B180" s="7" t="s">
        <v>246</v>
      </c>
      <c r="C180" s="7" t="s">
        <v>454</v>
      </c>
      <c r="D180" s="7" t="s">
        <v>281</v>
      </c>
      <c r="E180" s="19">
        <v>0.0</v>
      </c>
      <c r="F180" s="19">
        <v>0.0</v>
      </c>
      <c r="G180" s="19">
        <v>0.0</v>
      </c>
      <c r="H180" s="6">
        <f>E180*PV_SESSION+F180*PV_CHALLENGE+G180*PV_WIN</f>
        <v>0</v>
      </c>
    </row>
    <row r="181" ht="15.75" customHeight="1">
      <c r="A181" s="7" t="s">
        <v>245</v>
      </c>
      <c r="B181" s="7" t="s">
        <v>246</v>
      </c>
      <c r="C181" s="7" t="s">
        <v>455</v>
      </c>
      <c r="D181" s="7" t="s">
        <v>281</v>
      </c>
      <c r="E181" s="19">
        <v>0.0</v>
      </c>
      <c r="F181" s="19">
        <v>0.0</v>
      </c>
      <c r="G181" s="19">
        <v>0.0</v>
      </c>
      <c r="H181" s="6">
        <f>E181*PV_SESSION+F181*PV_CHALLENGE+G181*PV_WIN</f>
        <v>0</v>
      </c>
    </row>
    <row r="182" ht="15.75" customHeight="1">
      <c r="A182" s="7" t="s">
        <v>245</v>
      </c>
      <c r="B182" s="7" t="s">
        <v>246</v>
      </c>
      <c r="C182" s="7" t="s">
        <v>456</v>
      </c>
      <c r="D182" s="7" t="s">
        <v>281</v>
      </c>
      <c r="E182" s="19">
        <v>0.0</v>
      </c>
      <c r="F182" s="19">
        <v>0.0</v>
      </c>
      <c r="G182" s="19">
        <v>0.0</v>
      </c>
      <c r="H182" s="6">
        <f>E182*PV_SESSION+F182*PV_CHALLENGE+G182*PV_WIN</f>
        <v>0</v>
      </c>
    </row>
    <row r="183" ht="15.75" customHeight="1">
      <c r="A183" s="7" t="s">
        <v>247</v>
      </c>
      <c r="B183" s="7" t="s">
        <v>248</v>
      </c>
      <c r="C183" s="7" t="s">
        <v>457</v>
      </c>
      <c r="D183" s="7" t="s">
        <v>279</v>
      </c>
      <c r="E183" s="19">
        <v>0.0</v>
      </c>
      <c r="F183" s="19">
        <v>0.0</v>
      </c>
      <c r="G183" s="19">
        <v>0.0</v>
      </c>
      <c r="H183" s="6">
        <f>E183*PV_SESSION+F183*PV_CHALLENGE+G183*PV_WIN</f>
        <v>0</v>
      </c>
    </row>
    <row r="184" ht="15.75" customHeight="1">
      <c r="A184" s="7" t="s">
        <v>249</v>
      </c>
      <c r="B184" s="7" t="s">
        <v>250</v>
      </c>
      <c r="C184" s="7" t="s">
        <v>458</v>
      </c>
      <c r="D184" s="7" t="s">
        <v>279</v>
      </c>
      <c r="E184" s="19">
        <v>0.0</v>
      </c>
      <c r="F184" s="19">
        <v>0.0</v>
      </c>
      <c r="G184" s="19">
        <v>0.0</v>
      </c>
      <c r="H184" s="6">
        <f>E184*PV_SESSION+F184*PV_CHALLENGE+G184*PV_WIN</f>
        <v>0</v>
      </c>
    </row>
    <row r="185" ht="15.75" customHeight="1">
      <c r="A185" s="7" t="s">
        <v>249</v>
      </c>
      <c r="B185" s="7" t="s">
        <v>250</v>
      </c>
      <c r="C185" s="7" t="s">
        <v>459</v>
      </c>
      <c r="D185" s="7" t="s">
        <v>281</v>
      </c>
      <c r="E185" s="19">
        <v>0.0</v>
      </c>
      <c r="F185" s="19">
        <v>0.0</v>
      </c>
      <c r="G185" s="19">
        <v>0.0</v>
      </c>
      <c r="H185" s="6">
        <f>E185*PV_SESSION+F185*PV_CHALLENGE+G185*PV_WIN</f>
        <v>0</v>
      </c>
    </row>
    <row r="186" ht="15.75" customHeight="1">
      <c r="A186" s="7" t="s">
        <v>249</v>
      </c>
      <c r="B186" s="7" t="s">
        <v>250</v>
      </c>
      <c r="C186" s="7" t="s">
        <v>460</v>
      </c>
      <c r="D186" s="7" t="s">
        <v>281</v>
      </c>
      <c r="E186" s="19">
        <v>0.0</v>
      </c>
      <c r="F186" s="19">
        <v>0.0</v>
      </c>
      <c r="G186" s="19">
        <v>0.0</v>
      </c>
      <c r="H186" s="6">
        <f>E186*PV_SESSION+F186*PV_CHALLENGE+G186*PV_WIN</f>
        <v>0</v>
      </c>
    </row>
    <row r="187" ht="15.75" customHeight="1">
      <c r="A187" s="7" t="s">
        <v>249</v>
      </c>
      <c r="B187" s="7" t="s">
        <v>250</v>
      </c>
      <c r="C187" s="7" t="s">
        <v>461</v>
      </c>
      <c r="D187" s="7" t="s">
        <v>281</v>
      </c>
      <c r="E187" s="19">
        <v>0.0</v>
      </c>
      <c r="F187" s="19">
        <v>0.0</v>
      </c>
      <c r="G187" s="19">
        <v>0.0</v>
      </c>
      <c r="H187" s="6">
        <f>E187*PV_SESSION+F187*PV_CHALLENGE+G187*PV_WIN</f>
        <v>0</v>
      </c>
    </row>
    <row r="188" ht="15.75" customHeight="1">
      <c r="A188" s="7" t="s">
        <v>251</v>
      </c>
      <c r="B188" s="7" t="s">
        <v>252</v>
      </c>
      <c r="C188" s="7" t="s">
        <v>462</v>
      </c>
      <c r="D188" s="7" t="s">
        <v>279</v>
      </c>
      <c r="E188" s="19">
        <v>0.0</v>
      </c>
      <c r="F188" s="19">
        <v>0.0</v>
      </c>
      <c r="G188" s="19">
        <v>0.0</v>
      </c>
      <c r="H188" s="6">
        <f>E188*PV_SESSION+F188*PV_CHALLENGE+G188*PV_WIN</f>
        <v>0</v>
      </c>
    </row>
    <row r="189" ht="15.75" customHeight="1">
      <c r="A189" s="7" t="s">
        <v>251</v>
      </c>
      <c r="B189" s="7" t="s">
        <v>252</v>
      </c>
      <c r="C189" s="7" t="s">
        <v>463</v>
      </c>
      <c r="D189" s="7" t="s">
        <v>281</v>
      </c>
      <c r="E189" s="19">
        <v>0.0</v>
      </c>
      <c r="F189" s="19">
        <v>0.0</v>
      </c>
      <c r="G189" s="19">
        <v>0.0</v>
      </c>
      <c r="H189" s="6">
        <f>E189*PV_SESSION+F189*PV_CHALLENGE+G189*PV_WIN</f>
        <v>0</v>
      </c>
    </row>
    <row r="190" ht="15.75" customHeight="1">
      <c r="A190" s="7" t="s">
        <v>253</v>
      </c>
      <c r="B190" s="7" t="s">
        <v>254</v>
      </c>
      <c r="C190" s="7" t="s">
        <v>464</v>
      </c>
      <c r="D190" s="7" t="s">
        <v>279</v>
      </c>
      <c r="E190" s="19">
        <v>0.0</v>
      </c>
      <c r="F190" s="19">
        <v>0.0</v>
      </c>
      <c r="G190" s="19">
        <v>0.0</v>
      </c>
      <c r="H190" s="6">
        <f>E190*PV_SESSION+F190*PV_CHALLENGE+G190*PV_WIN</f>
        <v>0</v>
      </c>
    </row>
    <row r="191" ht="15.75" customHeight="1">
      <c r="A191" s="7" t="s">
        <v>253</v>
      </c>
      <c r="B191" s="7" t="s">
        <v>254</v>
      </c>
      <c r="C191" s="7" t="s">
        <v>465</v>
      </c>
      <c r="D191" s="7" t="s">
        <v>281</v>
      </c>
      <c r="E191" s="19">
        <v>0.0</v>
      </c>
      <c r="F191" s="19">
        <v>0.0</v>
      </c>
      <c r="G191" s="19">
        <v>0.0</v>
      </c>
      <c r="H191" s="6">
        <f>E191*PV_SESSION+F191*PV_CHALLENGE+G191*PV_WIN</f>
        <v>0</v>
      </c>
    </row>
    <row r="192" ht="15.75" customHeight="1">
      <c r="A192" s="7" t="s">
        <v>253</v>
      </c>
      <c r="B192" s="7" t="s">
        <v>254</v>
      </c>
      <c r="C192" s="7" t="s">
        <v>466</v>
      </c>
      <c r="D192" s="7" t="s">
        <v>281</v>
      </c>
      <c r="E192" s="19">
        <v>0.0</v>
      </c>
      <c r="F192" s="19">
        <v>0.0</v>
      </c>
      <c r="G192" s="19">
        <v>0.0</v>
      </c>
      <c r="H192" s="6">
        <f>E192*PV_SESSION+F192*PV_CHALLENGE+G192*PV_WIN</f>
        <v>0</v>
      </c>
    </row>
    <row r="193" ht="15.75" customHeight="1">
      <c r="A193" s="7" t="s">
        <v>256</v>
      </c>
      <c r="B193" s="7" t="s">
        <v>257</v>
      </c>
      <c r="C193" s="7" t="s">
        <v>467</v>
      </c>
      <c r="D193" s="7" t="s">
        <v>279</v>
      </c>
      <c r="E193" s="19">
        <v>0.0</v>
      </c>
      <c r="F193" s="19">
        <v>0.0</v>
      </c>
      <c r="G193" s="19">
        <v>0.0</v>
      </c>
      <c r="H193" s="6">
        <f>E193*PV_SESSION+F193*PV_CHALLENGE+G193*PV_WIN</f>
        <v>0</v>
      </c>
    </row>
    <row r="194" ht="15.75" customHeight="1">
      <c r="A194" s="7" t="s">
        <v>256</v>
      </c>
      <c r="B194" s="7" t="s">
        <v>257</v>
      </c>
      <c r="C194" s="7" t="s">
        <v>468</v>
      </c>
      <c r="D194" s="7" t="s">
        <v>281</v>
      </c>
      <c r="E194" s="19">
        <v>0.0</v>
      </c>
      <c r="F194" s="19">
        <v>0.0</v>
      </c>
      <c r="G194" s="19">
        <v>0.0</v>
      </c>
      <c r="H194" s="6">
        <f>E194*PV_SESSION+F194*PV_CHALLENGE+G194*PV_WIN</f>
        <v>0</v>
      </c>
    </row>
    <row r="195" ht="15.75" customHeight="1">
      <c r="A195" s="7" t="s">
        <v>258</v>
      </c>
      <c r="B195" s="7" t="s">
        <v>259</v>
      </c>
      <c r="C195" s="7" t="s">
        <v>469</v>
      </c>
      <c r="D195" s="7" t="s">
        <v>279</v>
      </c>
      <c r="E195" s="19">
        <v>0.0</v>
      </c>
      <c r="F195" s="19">
        <v>0.0</v>
      </c>
      <c r="G195" s="19">
        <v>0.0</v>
      </c>
      <c r="H195" s="6">
        <f>E195*PV_SESSION+F195*PV_CHALLENGE+G195*PV_WIN</f>
        <v>0</v>
      </c>
    </row>
    <row r="196" ht="15.75" customHeight="1">
      <c r="A196" s="7" t="s">
        <v>258</v>
      </c>
      <c r="B196" s="7" t="s">
        <v>259</v>
      </c>
      <c r="C196" s="7" t="s">
        <v>470</v>
      </c>
      <c r="D196" s="7" t="s">
        <v>281</v>
      </c>
      <c r="E196" s="19">
        <v>0.0</v>
      </c>
      <c r="F196" s="19">
        <v>0.0</v>
      </c>
      <c r="G196" s="19">
        <v>0.0</v>
      </c>
      <c r="H196" s="6">
        <f>E196*PV_SESSION+F196*PV_CHALLENGE+G196*PV_WIN</f>
        <v>0</v>
      </c>
    </row>
    <row r="197" ht="15.75" customHeight="1">
      <c r="A197" s="7" t="s">
        <v>258</v>
      </c>
      <c r="B197" s="7" t="s">
        <v>259</v>
      </c>
      <c r="C197" s="7" t="s">
        <v>471</v>
      </c>
      <c r="D197" s="7" t="s">
        <v>281</v>
      </c>
      <c r="E197" s="19">
        <v>0.0</v>
      </c>
      <c r="F197" s="19">
        <v>0.0</v>
      </c>
      <c r="G197" s="19">
        <v>0.0</v>
      </c>
      <c r="H197" s="6">
        <f>E197*PV_SESSION+F197*PV_CHALLENGE+G197*PV_WIN</f>
        <v>0</v>
      </c>
    </row>
    <row r="198" ht="15.75" customHeight="1">
      <c r="A198" s="7" t="s">
        <v>258</v>
      </c>
      <c r="B198" s="7" t="s">
        <v>259</v>
      </c>
      <c r="C198" s="7" t="s">
        <v>472</v>
      </c>
      <c r="D198" s="7" t="s">
        <v>281</v>
      </c>
      <c r="E198" s="19">
        <v>0.0</v>
      </c>
      <c r="F198" s="19">
        <v>0.0</v>
      </c>
      <c r="G198" s="19">
        <v>0.0</v>
      </c>
      <c r="H198" s="6">
        <f>E198*PV_SESSION+F198*PV_CHALLENGE+G198*PV_WIN</f>
        <v>0</v>
      </c>
    </row>
    <row r="199" ht="15.75" customHeight="1">
      <c r="A199" s="7" t="s">
        <v>260</v>
      </c>
      <c r="B199" s="7" t="s">
        <v>261</v>
      </c>
      <c r="C199" s="7" t="s">
        <v>473</v>
      </c>
      <c r="D199" s="7" t="s">
        <v>279</v>
      </c>
      <c r="E199" s="19">
        <v>0.0</v>
      </c>
      <c r="F199" s="19">
        <v>0.0</v>
      </c>
      <c r="G199" s="19">
        <v>0.0</v>
      </c>
      <c r="H199" s="6">
        <f>E199*PV_SESSION+F199*PV_CHALLENGE+G199*PV_WIN</f>
        <v>0</v>
      </c>
    </row>
    <row r="200" ht="15.75" customHeight="1">
      <c r="A200" s="7" t="s">
        <v>260</v>
      </c>
      <c r="B200" s="7" t="s">
        <v>261</v>
      </c>
      <c r="C200" s="7" t="s">
        <v>474</v>
      </c>
      <c r="D200" s="7" t="s">
        <v>281</v>
      </c>
      <c r="E200" s="19">
        <v>0.0</v>
      </c>
      <c r="F200" s="19">
        <v>0.0</v>
      </c>
      <c r="G200" s="19">
        <v>0.0</v>
      </c>
      <c r="H200" s="6">
        <f>E200*PV_SESSION+F200*PV_CHALLENGE+G200*PV_WIN</f>
        <v>0</v>
      </c>
    </row>
    <row r="201" ht="15.75" customHeight="1">
      <c r="A201" s="7" t="s">
        <v>262</v>
      </c>
      <c r="B201" s="7" t="s">
        <v>263</v>
      </c>
      <c r="C201" s="7" t="s">
        <v>475</v>
      </c>
      <c r="D201" s="7" t="s">
        <v>279</v>
      </c>
      <c r="E201" s="19">
        <v>0.0</v>
      </c>
      <c r="F201" s="19">
        <v>0.0</v>
      </c>
      <c r="G201" s="19">
        <v>0.0</v>
      </c>
      <c r="H201" s="6">
        <f>E201*PV_SESSION+F201*PV_CHALLENGE+G201*PV_WIN</f>
        <v>0</v>
      </c>
    </row>
    <row r="202" ht="15.75" customHeight="1">
      <c r="A202" s="7" t="s">
        <v>262</v>
      </c>
      <c r="B202" s="7" t="s">
        <v>263</v>
      </c>
      <c r="C202" s="7" t="s">
        <v>476</v>
      </c>
      <c r="D202" s="7" t="s">
        <v>281</v>
      </c>
      <c r="E202" s="19">
        <v>0.0</v>
      </c>
      <c r="F202" s="19">
        <v>0.0</v>
      </c>
      <c r="G202" s="19">
        <v>0.0</v>
      </c>
      <c r="H202" s="6">
        <f>E202*PV_SESSION+F202*PV_CHALLENGE+G202*PV_WIN</f>
        <v>0</v>
      </c>
    </row>
    <row r="203" ht="15.75" customHeight="1">
      <c r="A203" s="7" t="s">
        <v>262</v>
      </c>
      <c r="B203" s="7" t="s">
        <v>263</v>
      </c>
      <c r="C203" s="7" t="s">
        <v>477</v>
      </c>
      <c r="D203" s="7" t="s">
        <v>281</v>
      </c>
      <c r="E203" s="19">
        <v>0.0</v>
      </c>
      <c r="F203" s="19">
        <v>0.0</v>
      </c>
      <c r="G203" s="19">
        <v>0.0</v>
      </c>
      <c r="H203" s="6">
        <f>E203*PV_SESSION+F203*PV_CHALLENGE+G203*PV_WIN</f>
        <v>0</v>
      </c>
    </row>
    <row r="204" ht="15.75" customHeight="1">
      <c r="A204" s="7" t="s">
        <v>264</v>
      </c>
      <c r="B204" s="7" t="s">
        <v>265</v>
      </c>
      <c r="C204" s="7" t="s">
        <v>478</v>
      </c>
      <c r="D204" s="7" t="s">
        <v>279</v>
      </c>
      <c r="E204" s="19">
        <v>0.0</v>
      </c>
      <c r="F204" s="19">
        <v>0.0</v>
      </c>
      <c r="G204" s="19">
        <v>0.0</v>
      </c>
      <c r="H204" s="6">
        <f>E204*PV_SESSION+F204*PV_CHALLENGE+G204*PV_WIN</f>
        <v>0</v>
      </c>
    </row>
    <row r="205" ht="15.75" customHeight="1">
      <c r="A205" s="7" t="s">
        <v>264</v>
      </c>
      <c r="B205" s="7" t="s">
        <v>265</v>
      </c>
      <c r="C205" s="7" t="s">
        <v>479</v>
      </c>
      <c r="D205" s="7" t="s">
        <v>281</v>
      </c>
      <c r="E205" s="19">
        <v>0.0</v>
      </c>
      <c r="F205" s="19">
        <v>0.0</v>
      </c>
      <c r="G205" s="19">
        <v>0.0</v>
      </c>
      <c r="H205" s="6">
        <f>E205*PV_SESSION+F205*PV_CHALLENGE+G205*PV_WIN</f>
        <v>0</v>
      </c>
    </row>
    <row r="206" ht="15.75" customHeight="1">
      <c r="A206" s="7" t="s">
        <v>266</v>
      </c>
      <c r="B206" s="7" t="s">
        <v>267</v>
      </c>
      <c r="C206" s="7" t="s">
        <v>480</v>
      </c>
      <c r="D206" s="7" t="s">
        <v>279</v>
      </c>
      <c r="E206" s="19">
        <v>0.0</v>
      </c>
      <c r="F206" s="19">
        <v>0.0</v>
      </c>
      <c r="G206" s="19">
        <v>0.0</v>
      </c>
      <c r="H206" s="6">
        <f>E206*PV_SESSION+F206*PV_CHALLENGE+G206*PV_WIN</f>
        <v>0</v>
      </c>
    </row>
    <row r="207" ht="15.75" customHeight="1">
      <c r="A207" s="7" t="s">
        <v>266</v>
      </c>
      <c r="B207" s="7" t="s">
        <v>267</v>
      </c>
      <c r="C207" s="7" t="s">
        <v>481</v>
      </c>
      <c r="D207" s="7" t="s">
        <v>281</v>
      </c>
      <c r="E207" s="19">
        <v>0.0</v>
      </c>
      <c r="F207" s="19">
        <v>0.0</v>
      </c>
      <c r="G207" s="19">
        <v>0.0</v>
      </c>
      <c r="H207" s="6">
        <f>E207*PV_SESSION+F207*PV_CHALLENGE+G207*PV_WIN</f>
        <v>0</v>
      </c>
    </row>
    <row r="208" ht="15.75" customHeight="1">
      <c r="A208" s="7" t="s">
        <v>266</v>
      </c>
      <c r="B208" s="7" t="s">
        <v>267</v>
      </c>
      <c r="C208" s="7" t="s">
        <v>444</v>
      </c>
      <c r="D208" s="7" t="s">
        <v>281</v>
      </c>
      <c r="E208" s="19">
        <v>0.0</v>
      </c>
      <c r="F208" s="19">
        <v>0.0</v>
      </c>
      <c r="G208" s="19">
        <v>0.0</v>
      </c>
      <c r="H208" s="6">
        <f>E208*PV_SESSION+F208*PV_CHALLENGE+G208*PV_WIN</f>
        <v>0</v>
      </c>
    </row>
    <row r="209" ht="15.75" customHeight="1">
      <c r="A209" s="7" t="s">
        <v>266</v>
      </c>
      <c r="B209" s="7" t="s">
        <v>267</v>
      </c>
      <c r="C209" s="7" t="s">
        <v>464</v>
      </c>
      <c r="D209" s="7" t="s">
        <v>281</v>
      </c>
      <c r="E209" s="19">
        <v>0.0</v>
      </c>
      <c r="F209" s="19">
        <v>0.0</v>
      </c>
      <c r="G209" s="19">
        <v>0.0</v>
      </c>
      <c r="H209" s="6">
        <f>E209*PV_SESSION+F209*PV_CHALLENGE+G209*PV_WIN</f>
        <v>0</v>
      </c>
    </row>
    <row r="210" ht="15.75" customHeight="1">
      <c r="A210" s="7" t="s">
        <v>268</v>
      </c>
      <c r="B210" s="7" t="s">
        <v>269</v>
      </c>
      <c r="C210" s="7" t="s">
        <v>482</v>
      </c>
      <c r="D210" s="7" t="s">
        <v>279</v>
      </c>
      <c r="E210" s="19">
        <v>0.0</v>
      </c>
      <c r="F210" s="19">
        <v>0.0</v>
      </c>
      <c r="G210" s="19">
        <v>0.0</v>
      </c>
      <c r="H210" s="6">
        <f>E210*PV_SESSION+F210*PV_CHALLENGE+G210*PV_WIN</f>
        <v>0</v>
      </c>
    </row>
    <row r="211" ht="15.75" customHeight="1">
      <c r="A211" s="7" t="s">
        <v>268</v>
      </c>
      <c r="B211" s="7" t="s">
        <v>269</v>
      </c>
      <c r="C211" s="7" t="s">
        <v>483</v>
      </c>
      <c r="D211" s="7" t="s">
        <v>281</v>
      </c>
      <c r="E211" s="19">
        <v>0.0</v>
      </c>
      <c r="F211" s="19">
        <v>0.0</v>
      </c>
      <c r="G211" s="19">
        <v>0.0</v>
      </c>
      <c r="H211" s="6">
        <f>E211*PV_SESSION+F211*PV_CHALLENGE+G211*PV_WIN</f>
        <v>0</v>
      </c>
    </row>
    <row r="212" ht="15.75" customHeight="1">
      <c r="A212" s="7" t="s">
        <v>270</v>
      </c>
      <c r="B212" s="7" t="s">
        <v>271</v>
      </c>
      <c r="C212" s="7" t="s">
        <v>484</v>
      </c>
      <c r="D212" s="7" t="s">
        <v>279</v>
      </c>
      <c r="E212" s="19">
        <v>0.0</v>
      </c>
      <c r="F212" s="19">
        <v>0.0</v>
      </c>
      <c r="G212" s="19">
        <v>0.0</v>
      </c>
      <c r="H212" s="6">
        <f>E212*PV_SESSION+F212*PV_CHALLENGE+G212*PV_WIN</f>
        <v>0</v>
      </c>
    </row>
    <row r="213" ht="15.75" customHeight="1">
      <c r="A213" s="7" t="s">
        <v>270</v>
      </c>
      <c r="B213" s="7" t="s">
        <v>271</v>
      </c>
      <c r="C213" s="7" t="s">
        <v>485</v>
      </c>
      <c r="D213" s="7" t="s">
        <v>281</v>
      </c>
      <c r="E213" s="19">
        <v>0.0</v>
      </c>
      <c r="F213" s="19">
        <v>0.0</v>
      </c>
      <c r="G213" s="19">
        <v>0.0</v>
      </c>
      <c r="H213" s="6">
        <f>E213*PV_SESSION+F213*PV_CHALLENGE+G213*PV_WIN</f>
        <v>0</v>
      </c>
    </row>
    <row r="214" ht="15.75" customHeight="1">
      <c r="A214" s="7" t="s">
        <v>272</v>
      </c>
      <c r="B214" s="7" t="s">
        <v>273</v>
      </c>
      <c r="C214" s="7" t="s">
        <v>486</v>
      </c>
      <c r="D214" s="7" t="s">
        <v>279</v>
      </c>
      <c r="E214" s="19">
        <v>0.0</v>
      </c>
      <c r="F214" s="19">
        <v>0.0</v>
      </c>
      <c r="G214" s="19">
        <v>0.0</v>
      </c>
      <c r="H214" s="6">
        <f>E214*PV_SESSION+F214*PV_CHALLENGE+G214*PV_WIN</f>
        <v>0</v>
      </c>
    </row>
    <row r="215" ht="15.75" customHeight="1">
      <c r="A215" s="7" t="s">
        <v>272</v>
      </c>
      <c r="B215" s="7" t="s">
        <v>273</v>
      </c>
      <c r="C215" s="7" t="s">
        <v>487</v>
      </c>
      <c r="D215" s="7" t="s">
        <v>281</v>
      </c>
      <c r="E215" s="19">
        <v>0.0</v>
      </c>
      <c r="F215" s="19">
        <v>0.0</v>
      </c>
      <c r="G215" s="19">
        <v>0.0</v>
      </c>
      <c r="H215" s="6">
        <f>E215*PV_SESSION+F215*PV_CHALLENGE+G215*PV_WIN</f>
        <v>0</v>
      </c>
    </row>
    <row r="216" ht="15.75" customHeight="1">
      <c r="A216" s="7" t="s">
        <v>272</v>
      </c>
      <c r="B216" s="7" t="s">
        <v>273</v>
      </c>
      <c r="C216" s="7" t="s">
        <v>488</v>
      </c>
      <c r="D216" s="7" t="s">
        <v>281</v>
      </c>
      <c r="E216" s="19">
        <v>0.0</v>
      </c>
      <c r="F216" s="19">
        <v>0.0</v>
      </c>
      <c r="G216" s="19">
        <v>0.0</v>
      </c>
      <c r="H216" s="6">
        <f>E216*PV_SESSION+F216*PV_CHALLENGE+G216*PV_WIN</f>
        <v>0</v>
      </c>
    </row>
    <row r="217" ht="15.75" customHeight="1">
      <c r="A217" s="7" t="s">
        <v>272</v>
      </c>
      <c r="B217" s="7" t="s">
        <v>273</v>
      </c>
      <c r="C217" s="7" t="s">
        <v>489</v>
      </c>
      <c r="D217" s="7" t="s">
        <v>281</v>
      </c>
      <c r="E217" s="19">
        <v>0.0</v>
      </c>
      <c r="F217" s="19">
        <v>0.0</v>
      </c>
      <c r="G217" s="19">
        <v>0.0</v>
      </c>
      <c r="H217" s="6">
        <f>E217*PV_SESSION+F217*PV_CHALLENGE+G217*PV_WIN</f>
        <v>0</v>
      </c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24.0"/>
    <col customWidth="1" min="4" max="4" width="14.0"/>
    <col customWidth="1" min="5" max="5" width="16.0"/>
    <col customWidth="1" min="6" max="6" width="22.0"/>
    <col customWidth="1" min="7" max="7" width="18.0"/>
    <col customWidth="1" min="8" max="8" width="16.0"/>
    <col customWidth="1" min="9" max="26" width="8.71"/>
  </cols>
  <sheetData>
    <row r="1">
      <c r="A1" s="3" t="s">
        <v>69</v>
      </c>
      <c r="B1" s="3" t="s">
        <v>70</v>
      </c>
      <c r="C1" s="3" t="s">
        <v>276</v>
      </c>
      <c r="D1" s="3" t="s">
        <v>277</v>
      </c>
      <c r="E1" s="3" t="s">
        <v>490</v>
      </c>
      <c r="F1" s="3" t="s">
        <v>491</v>
      </c>
      <c r="G1" s="3" t="s">
        <v>492</v>
      </c>
      <c r="H1" s="3" t="s">
        <v>493</v>
      </c>
    </row>
    <row r="2">
      <c r="A2" s="7" t="s">
        <v>79</v>
      </c>
      <c r="B2" s="7" t="s">
        <v>80</v>
      </c>
      <c r="C2" s="7" t="s">
        <v>278</v>
      </c>
      <c r="D2" s="7" t="s">
        <v>279</v>
      </c>
      <c r="E2" s="18">
        <v>0.0</v>
      </c>
      <c r="F2" s="19">
        <v>0.0</v>
      </c>
      <c r="G2" s="19">
        <v>0.0</v>
      </c>
      <c r="H2" s="6">
        <f>E2*PV_SESSION+F2*PV_CHALLENGE+G2*PV_WIN</f>
        <v>0</v>
      </c>
    </row>
    <row r="3">
      <c r="A3" s="7" t="s">
        <v>79</v>
      </c>
      <c r="B3" s="7" t="s">
        <v>80</v>
      </c>
      <c r="C3" s="7" t="s">
        <v>280</v>
      </c>
      <c r="D3" s="7" t="s">
        <v>281</v>
      </c>
      <c r="E3" s="18">
        <v>0.0</v>
      </c>
      <c r="F3" s="18">
        <v>0.0</v>
      </c>
      <c r="G3" s="19">
        <v>0.0</v>
      </c>
      <c r="H3" s="6">
        <f>E3*PV_SESSION+F3*PV_CHALLENGE+G3*PV_WIN</f>
        <v>0</v>
      </c>
    </row>
    <row r="4">
      <c r="A4" s="7" t="s">
        <v>79</v>
      </c>
      <c r="B4" s="7" t="s">
        <v>80</v>
      </c>
      <c r="C4" s="7" t="s">
        <v>282</v>
      </c>
      <c r="D4" s="7" t="s">
        <v>281</v>
      </c>
      <c r="E4" s="19">
        <v>0.0</v>
      </c>
      <c r="F4" s="18">
        <v>0.0</v>
      </c>
      <c r="G4" s="19">
        <v>0.0</v>
      </c>
      <c r="H4" s="6">
        <f>E4*PV_SESSION+F4*PV_CHALLENGE+G4*PV_WIN</f>
        <v>0</v>
      </c>
    </row>
    <row r="5">
      <c r="A5" s="7" t="s">
        <v>79</v>
      </c>
      <c r="B5" s="7" t="s">
        <v>80</v>
      </c>
      <c r="C5" s="7" t="s">
        <v>283</v>
      </c>
      <c r="D5" s="7" t="s">
        <v>281</v>
      </c>
      <c r="E5" s="18">
        <v>0.0</v>
      </c>
      <c r="F5" s="18">
        <v>0.0</v>
      </c>
      <c r="G5" s="19">
        <v>0.0</v>
      </c>
      <c r="H5" s="6">
        <f>E5*PV_SESSION+F5*PV_CHALLENGE+G5*PV_WIN</f>
        <v>0</v>
      </c>
    </row>
    <row r="6">
      <c r="A6" s="7" t="s">
        <v>82</v>
      </c>
      <c r="B6" s="7" t="s">
        <v>83</v>
      </c>
      <c r="C6" s="7" t="s">
        <v>284</v>
      </c>
      <c r="D6" s="7" t="s">
        <v>279</v>
      </c>
      <c r="E6" s="18">
        <v>0.0</v>
      </c>
      <c r="F6" s="19">
        <v>0.0</v>
      </c>
      <c r="G6" s="19">
        <v>0.0</v>
      </c>
      <c r="H6" s="6">
        <f>E6*PV_SESSION+F6*PV_CHALLENGE+G6*PV_WIN</f>
        <v>0</v>
      </c>
    </row>
    <row r="7">
      <c r="A7" s="7" t="s">
        <v>82</v>
      </c>
      <c r="B7" s="7" t="s">
        <v>83</v>
      </c>
      <c r="C7" s="7" t="s">
        <v>285</v>
      </c>
      <c r="D7" s="7" t="s">
        <v>281</v>
      </c>
      <c r="E7" s="19">
        <v>0.0</v>
      </c>
      <c r="F7" s="19">
        <v>0.0</v>
      </c>
      <c r="G7" s="19">
        <v>0.0</v>
      </c>
      <c r="H7" s="6">
        <f>E7*PV_SESSION+F7*PV_CHALLENGE+G7*PV_WIN</f>
        <v>0</v>
      </c>
    </row>
    <row r="8">
      <c r="A8" s="7" t="s">
        <v>84</v>
      </c>
      <c r="B8" s="7" t="s">
        <v>85</v>
      </c>
      <c r="C8" s="7" t="s">
        <v>286</v>
      </c>
      <c r="D8" s="7" t="s">
        <v>279</v>
      </c>
      <c r="E8" s="18">
        <v>0.0</v>
      </c>
      <c r="F8" s="18">
        <v>0.0</v>
      </c>
      <c r="G8" s="19">
        <v>0.0</v>
      </c>
      <c r="H8" s="6">
        <f>E8*PV_SESSION+F8*PV_CHALLENGE+G8*PV_WIN</f>
        <v>0</v>
      </c>
    </row>
    <row r="9">
      <c r="A9" s="7" t="s">
        <v>84</v>
      </c>
      <c r="B9" s="7" t="s">
        <v>85</v>
      </c>
      <c r="C9" s="7" t="s">
        <v>287</v>
      </c>
      <c r="D9" s="7" t="s">
        <v>281</v>
      </c>
      <c r="E9" s="18">
        <v>0.0</v>
      </c>
      <c r="F9" s="19">
        <v>0.0</v>
      </c>
      <c r="G9" s="19">
        <v>0.0</v>
      </c>
      <c r="H9" s="6">
        <f>E9*PV_SESSION+F9*PV_CHALLENGE+G9*PV_WIN</f>
        <v>0</v>
      </c>
    </row>
    <row r="10">
      <c r="A10" s="7" t="s">
        <v>87</v>
      </c>
      <c r="B10" s="7" t="s">
        <v>88</v>
      </c>
      <c r="C10" s="7" t="s">
        <v>288</v>
      </c>
      <c r="D10" s="7" t="s">
        <v>279</v>
      </c>
      <c r="E10" s="18">
        <v>0.0</v>
      </c>
      <c r="F10" s="18">
        <v>0.0</v>
      </c>
      <c r="G10" s="18">
        <v>0.0</v>
      </c>
      <c r="H10" s="6">
        <f>E10*PV_SESSION+F10*PV_CHALLENGE+G10*PV_WIN</f>
        <v>0</v>
      </c>
    </row>
    <row r="11">
      <c r="A11" s="7" t="s">
        <v>87</v>
      </c>
      <c r="B11" s="7" t="s">
        <v>88</v>
      </c>
      <c r="C11" s="7" t="s">
        <v>289</v>
      </c>
      <c r="D11" s="7" t="s">
        <v>281</v>
      </c>
      <c r="E11" s="18">
        <v>0.0</v>
      </c>
      <c r="F11" s="18">
        <v>0.0</v>
      </c>
      <c r="G11" s="19">
        <v>0.0</v>
      </c>
      <c r="H11" s="6">
        <f>E11*PV_SESSION+F11*PV_CHALLENGE+G11*PV_WIN</f>
        <v>0</v>
      </c>
    </row>
    <row r="12">
      <c r="A12" s="7" t="s">
        <v>89</v>
      </c>
      <c r="B12" s="7" t="s">
        <v>90</v>
      </c>
      <c r="C12" s="7" t="s">
        <v>290</v>
      </c>
      <c r="D12" s="7" t="s">
        <v>279</v>
      </c>
      <c r="E12" s="18">
        <v>0.0</v>
      </c>
      <c r="F12" s="18">
        <v>0.0</v>
      </c>
      <c r="G12" s="19">
        <v>0.0</v>
      </c>
      <c r="H12" s="6">
        <f>E12*PV_SESSION+F12*PV_CHALLENGE+G12*PV_WIN</f>
        <v>0</v>
      </c>
    </row>
    <row r="13">
      <c r="A13" s="7" t="s">
        <v>89</v>
      </c>
      <c r="B13" s="7" t="s">
        <v>90</v>
      </c>
      <c r="C13" s="7" t="s">
        <v>291</v>
      </c>
      <c r="D13" s="7" t="s">
        <v>281</v>
      </c>
      <c r="E13" s="18">
        <v>0.0</v>
      </c>
      <c r="F13" s="18">
        <v>0.0</v>
      </c>
      <c r="G13" s="18">
        <v>0.0</v>
      </c>
      <c r="H13" s="6">
        <f>E13*PV_SESSION+F13*PV_CHALLENGE+G13*PV_WIN</f>
        <v>0</v>
      </c>
    </row>
    <row r="14">
      <c r="A14" s="7" t="s">
        <v>91</v>
      </c>
      <c r="B14" s="7" t="s">
        <v>92</v>
      </c>
      <c r="C14" s="7" t="s">
        <v>292</v>
      </c>
      <c r="D14" s="7" t="s">
        <v>279</v>
      </c>
      <c r="E14" s="19">
        <v>0.0</v>
      </c>
      <c r="F14" s="18">
        <v>0.0</v>
      </c>
      <c r="G14" s="19">
        <v>0.0</v>
      </c>
      <c r="H14" s="6">
        <f>E14*PV_SESSION+F14*PV_CHALLENGE+G14*PV_WIN</f>
        <v>0</v>
      </c>
    </row>
    <row r="15">
      <c r="A15" s="7" t="s">
        <v>91</v>
      </c>
      <c r="B15" s="7" t="s">
        <v>92</v>
      </c>
      <c r="C15" s="7" t="s">
        <v>293</v>
      </c>
      <c r="D15" s="7" t="s">
        <v>281</v>
      </c>
      <c r="E15" s="18">
        <v>0.0</v>
      </c>
      <c r="F15" s="18">
        <v>0.0</v>
      </c>
      <c r="G15" s="19">
        <v>0.0</v>
      </c>
      <c r="H15" s="6">
        <f>E15*PV_SESSION+F15*PV_CHALLENGE+G15*PV_WIN</f>
        <v>0</v>
      </c>
    </row>
    <row r="16">
      <c r="A16" s="7" t="s">
        <v>93</v>
      </c>
      <c r="B16" s="7" t="s">
        <v>94</v>
      </c>
      <c r="C16" s="7" t="s">
        <v>294</v>
      </c>
      <c r="D16" s="7" t="s">
        <v>279</v>
      </c>
      <c r="E16" s="18">
        <v>0.0</v>
      </c>
      <c r="F16" s="18">
        <v>0.0</v>
      </c>
      <c r="G16" s="19">
        <v>0.0</v>
      </c>
      <c r="H16" s="6">
        <f>E16*PV_SESSION+F16*PV_CHALLENGE+G16*PV_WIN</f>
        <v>0</v>
      </c>
    </row>
    <row r="17">
      <c r="A17" s="7" t="s">
        <v>93</v>
      </c>
      <c r="B17" s="7" t="s">
        <v>94</v>
      </c>
      <c r="C17" s="7" t="s">
        <v>295</v>
      </c>
      <c r="D17" s="7" t="s">
        <v>281</v>
      </c>
      <c r="E17" s="18">
        <v>0.0</v>
      </c>
      <c r="F17" s="19">
        <v>0.0</v>
      </c>
      <c r="G17" s="19">
        <v>0.0</v>
      </c>
      <c r="H17" s="6">
        <f>E17*PV_SESSION+F17*PV_CHALLENGE+G17*PV_WIN</f>
        <v>0</v>
      </c>
    </row>
    <row r="18">
      <c r="A18" s="7" t="s">
        <v>93</v>
      </c>
      <c r="B18" s="7" t="s">
        <v>94</v>
      </c>
      <c r="C18" s="7" t="s">
        <v>296</v>
      </c>
      <c r="D18" s="7" t="s">
        <v>281</v>
      </c>
      <c r="E18" s="18">
        <v>0.0</v>
      </c>
      <c r="F18" s="18">
        <v>0.0</v>
      </c>
      <c r="G18" s="19">
        <v>0.0</v>
      </c>
      <c r="H18" s="6">
        <f>E18*PV_SESSION+F18*PV_CHALLENGE+G18*PV_WIN</f>
        <v>0</v>
      </c>
    </row>
    <row r="19">
      <c r="A19" s="7" t="s">
        <v>93</v>
      </c>
      <c r="B19" s="7" t="s">
        <v>94</v>
      </c>
      <c r="C19" s="7" t="s">
        <v>297</v>
      </c>
      <c r="D19" s="7" t="s">
        <v>281</v>
      </c>
      <c r="E19" s="19">
        <v>0.0</v>
      </c>
      <c r="F19" s="18">
        <v>0.0</v>
      </c>
      <c r="G19" s="19">
        <v>0.0</v>
      </c>
      <c r="H19" s="6">
        <f>E19*PV_SESSION+F19*PV_CHALLENGE+G19*PV_WIN</f>
        <v>0</v>
      </c>
    </row>
    <row r="20">
      <c r="A20" s="7" t="s">
        <v>96</v>
      </c>
      <c r="B20" s="7" t="s">
        <v>97</v>
      </c>
      <c r="C20" s="7" t="s">
        <v>298</v>
      </c>
      <c r="D20" s="7" t="s">
        <v>279</v>
      </c>
      <c r="E20" s="18">
        <v>0.0</v>
      </c>
      <c r="F20" s="19">
        <v>0.0</v>
      </c>
      <c r="G20" s="19">
        <v>0.0</v>
      </c>
      <c r="H20" s="6">
        <f>E20*PV_SESSION+F20*PV_CHALLENGE+G20*PV_WIN</f>
        <v>0</v>
      </c>
    </row>
    <row r="21" ht="15.75" customHeight="1">
      <c r="A21" s="7" t="s">
        <v>96</v>
      </c>
      <c r="B21" s="7" t="s">
        <v>97</v>
      </c>
      <c r="C21" s="7" t="s">
        <v>299</v>
      </c>
      <c r="D21" s="7" t="s">
        <v>281</v>
      </c>
      <c r="E21" s="18">
        <v>0.0</v>
      </c>
      <c r="F21" s="18">
        <v>0.0</v>
      </c>
      <c r="G21" s="19">
        <v>0.0</v>
      </c>
      <c r="H21" s="6">
        <f>E21*PV_SESSION+F21*PV_CHALLENGE+G21*PV_WIN</f>
        <v>0</v>
      </c>
    </row>
    <row r="22" ht="15.75" customHeight="1">
      <c r="A22" s="7" t="s">
        <v>96</v>
      </c>
      <c r="B22" s="7" t="s">
        <v>97</v>
      </c>
      <c r="C22" s="7" t="s">
        <v>300</v>
      </c>
      <c r="D22" s="7" t="s">
        <v>281</v>
      </c>
      <c r="E22" s="18">
        <v>0.0</v>
      </c>
      <c r="F22" s="19">
        <v>0.0</v>
      </c>
      <c r="G22" s="19">
        <v>0.0</v>
      </c>
      <c r="H22" s="6">
        <f>E22*PV_SESSION+F22*PV_CHALLENGE+G22*PV_WIN</f>
        <v>0</v>
      </c>
    </row>
    <row r="23" ht="15.75" customHeight="1">
      <c r="A23" s="7" t="s">
        <v>98</v>
      </c>
      <c r="B23" s="7" t="s">
        <v>99</v>
      </c>
      <c r="C23" s="7" t="s">
        <v>301</v>
      </c>
      <c r="D23" s="7" t="s">
        <v>279</v>
      </c>
      <c r="E23" s="18">
        <v>0.0</v>
      </c>
      <c r="F23" s="18">
        <v>0.0</v>
      </c>
      <c r="G23" s="19">
        <v>0.0</v>
      </c>
      <c r="H23" s="6">
        <f>E23*PV_SESSION+F23*PV_CHALLENGE+G23*PV_WIN</f>
        <v>0</v>
      </c>
    </row>
    <row r="24" ht="15.75" customHeight="1">
      <c r="A24" s="7" t="s">
        <v>98</v>
      </c>
      <c r="B24" s="7" t="s">
        <v>99</v>
      </c>
      <c r="C24" s="7" t="s">
        <v>302</v>
      </c>
      <c r="D24" s="7" t="s">
        <v>281</v>
      </c>
      <c r="E24" s="18">
        <v>0.0</v>
      </c>
      <c r="F24" s="18">
        <v>0.0</v>
      </c>
      <c r="G24" s="18">
        <v>0.0</v>
      </c>
      <c r="H24" s="6">
        <f>E24*PV_SESSION+F24*PV_CHALLENGE+G24*PV_WIN</f>
        <v>0</v>
      </c>
    </row>
    <row r="25" ht="15.75" customHeight="1">
      <c r="A25" s="7" t="s">
        <v>100</v>
      </c>
      <c r="B25" s="7" t="s">
        <v>101</v>
      </c>
      <c r="C25" s="7" t="s">
        <v>303</v>
      </c>
      <c r="D25" s="7" t="s">
        <v>279</v>
      </c>
      <c r="E25" s="18">
        <v>0.0</v>
      </c>
      <c r="F25" s="18">
        <v>0.0</v>
      </c>
      <c r="G25" s="18">
        <v>0.0</v>
      </c>
      <c r="H25" s="6">
        <f>E25*PV_SESSION+F25*PV_CHALLENGE+G25*PV_WIN</f>
        <v>0</v>
      </c>
    </row>
    <row r="26" ht="15.75" customHeight="1">
      <c r="A26" s="7" t="s">
        <v>100</v>
      </c>
      <c r="B26" s="7" t="s">
        <v>101</v>
      </c>
      <c r="C26" s="7" t="s">
        <v>304</v>
      </c>
      <c r="D26" s="7" t="s">
        <v>281</v>
      </c>
      <c r="E26" s="18">
        <v>0.0</v>
      </c>
      <c r="F26" s="18">
        <v>0.0</v>
      </c>
      <c r="G26" s="19">
        <v>0.0</v>
      </c>
      <c r="H26" s="6">
        <f>E26*PV_SESSION+F26*PV_CHALLENGE+G26*PV_WIN</f>
        <v>0</v>
      </c>
    </row>
    <row r="27" ht="15.75" customHeight="1">
      <c r="A27" s="7" t="s">
        <v>100</v>
      </c>
      <c r="B27" s="7" t="s">
        <v>101</v>
      </c>
      <c r="C27" s="7" t="s">
        <v>305</v>
      </c>
      <c r="D27" s="7" t="s">
        <v>281</v>
      </c>
      <c r="E27" s="18">
        <v>0.0</v>
      </c>
      <c r="F27" s="19">
        <v>0.0</v>
      </c>
      <c r="G27" s="19">
        <v>0.0</v>
      </c>
      <c r="H27" s="6">
        <f>E27*PV_SESSION+F27*PV_CHALLENGE+G27*PV_WIN</f>
        <v>0</v>
      </c>
    </row>
    <row r="28" ht="15.75" customHeight="1">
      <c r="A28" s="7" t="s">
        <v>100</v>
      </c>
      <c r="B28" s="7" t="s">
        <v>101</v>
      </c>
      <c r="C28" s="7" t="s">
        <v>306</v>
      </c>
      <c r="D28" s="7" t="s">
        <v>281</v>
      </c>
      <c r="E28" s="18">
        <v>0.0</v>
      </c>
      <c r="F28" s="19">
        <v>0.0</v>
      </c>
      <c r="G28" s="19">
        <v>0.0</v>
      </c>
      <c r="H28" s="6">
        <f>E28*PV_SESSION+F28*PV_CHALLENGE+G28*PV_WIN</f>
        <v>0</v>
      </c>
    </row>
    <row r="29" ht="15.75" customHeight="1">
      <c r="A29" s="7" t="s">
        <v>102</v>
      </c>
      <c r="B29" s="7" t="s">
        <v>103</v>
      </c>
      <c r="C29" s="7" t="s">
        <v>307</v>
      </c>
      <c r="D29" s="7" t="s">
        <v>279</v>
      </c>
      <c r="E29" s="18">
        <v>0.0</v>
      </c>
      <c r="F29" s="19">
        <v>0.0</v>
      </c>
      <c r="G29" s="19">
        <v>0.0</v>
      </c>
      <c r="H29" s="6">
        <f>E29*PV_SESSION+F29*PV_CHALLENGE+G29*PV_WIN</f>
        <v>0</v>
      </c>
    </row>
    <row r="30" ht="15.75" customHeight="1">
      <c r="A30" s="7" t="s">
        <v>102</v>
      </c>
      <c r="B30" s="7" t="s">
        <v>103</v>
      </c>
      <c r="C30" s="7" t="s">
        <v>308</v>
      </c>
      <c r="D30" s="7" t="s">
        <v>281</v>
      </c>
      <c r="E30" s="19">
        <v>0.0</v>
      </c>
      <c r="F30" s="18">
        <v>0.0</v>
      </c>
      <c r="G30" s="19">
        <v>0.0</v>
      </c>
      <c r="H30" s="6">
        <f>E30*PV_SESSION+F30*PV_CHALLENGE+G30*PV_WIN</f>
        <v>0</v>
      </c>
    </row>
    <row r="31" ht="15.75" customHeight="1">
      <c r="A31" s="7" t="s">
        <v>102</v>
      </c>
      <c r="B31" s="7" t="s">
        <v>103</v>
      </c>
      <c r="C31" s="7" t="s">
        <v>309</v>
      </c>
      <c r="D31" s="7" t="s">
        <v>281</v>
      </c>
      <c r="E31" s="18">
        <v>0.0</v>
      </c>
      <c r="F31" s="18">
        <v>0.0</v>
      </c>
      <c r="G31" s="19">
        <v>0.0</v>
      </c>
      <c r="H31" s="6">
        <f>E31*PV_SESSION+F31*PV_CHALLENGE+G31*PV_WIN</f>
        <v>0</v>
      </c>
    </row>
    <row r="32" ht="15.75" customHeight="1">
      <c r="A32" s="7" t="s">
        <v>102</v>
      </c>
      <c r="B32" s="7" t="s">
        <v>103</v>
      </c>
      <c r="C32" s="7" t="s">
        <v>310</v>
      </c>
      <c r="D32" s="7" t="s">
        <v>281</v>
      </c>
      <c r="E32" s="18">
        <v>0.0</v>
      </c>
      <c r="F32" s="18">
        <v>0.0</v>
      </c>
      <c r="G32" s="19">
        <v>0.0</v>
      </c>
      <c r="H32" s="6">
        <f>E32*PV_SESSION+F32*PV_CHALLENGE+G32*PV_WIN</f>
        <v>0</v>
      </c>
    </row>
    <row r="33" ht="15.75" customHeight="1">
      <c r="A33" s="7" t="s">
        <v>104</v>
      </c>
      <c r="B33" s="7" t="s">
        <v>105</v>
      </c>
      <c r="C33" s="7" t="s">
        <v>311</v>
      </c>
      <c r="D33" s="7" t="s">
        <v>279</v>
      </c>
      <c r="E33" s="18">
        <v>0.0</v>
      </c>
      <c r="F33" s="19">
        <v>0.0</v>
      </c>
      <c r="G33" s="19">
        <v>0.0</v>
      </c>
      <c r="H33" s="6">
        <f>E33*PV_SESSION+F33*PV_CHALLENGE+G33*PV_WIN</f>
        <v>0</v>
      </c>
    </row>
    <row r="34" ht="15.75" customHeight="1">
      <c r="A34" s="7" t="s">
        <v>104</v>
      </c>
      <c r="B34" s="7" t="s">
        <v>105</v>
      </c>
      <c r="C34" s="7" t="s">
        <v>312</v>
      </c>
      <c r="D34" s="7" t="s">
        <v>281</v>
      </c>
      <c r="E34" s="19">
        <v>0.0</v>
      </c>
      <c r="F34" s="18">
        <v>0.0</v>
      </c>
      <c r="G34" s="18">
        <v>0.0</v>
      </c>
      <c r="H34" s="6">
        <f>E34*PV_SESSION+F34*PV_CHALLENGE+G34*PV_WIN</f>
        <v>0</v>
      </c>
    </row>
    <row r="35" ht="15.75" customHeight="1">
      <c r="A35" s="7" t="s">
        <v>106</v>
      </c>
      <c r="B35" s="7" t="s">
        <v>107</v>
      </c>
      <c r="C35" s="7" t="s">
        <v>313</v>
      </c>
      <c r="D35" s="7" t="s">
        <v>279</v>
      </c>
      <c r="E35" s="18">
        <v>0.0</v>
      </c>
      <c r="F35" s="18">
        <v>0.0</v>
      </c>
      <c r="G35" s="19">
        <v>0.0</v>
      </c>
      <c r="H35" s="6">
        <f>E35*PV_SESSION+F35*PV_CHALLENGE+G35*PV_WIN</f>
        <v>0</v>
      </c>
    </row>
    <row r="36" ht="15.75" customHeight="1">
      <c r="A36" s="7" t="s">
        <v>106</v>
      </c>
      <c r="B36" s="7" t="s">
        <v>107</v>
      </c>
      <c r="C36" s="7" t="s">
        <v>314</v>
      </c>
      <c r="D36" s="7" t="s">
        <v>281</v>
      </c>
      <c r="E36" s="18">
        <v>0.0</v>
      </c>
      <c r="F36" s="18">
        <v>0.0</v>
      </c>
      <c r="G36" s="18">
        <v>0.0</v>
      </c>
      <c r="H36" s="6">
        <f>E36*PV_SESSION+F36*PV_CHALLENGE+G36*PV_WIN</f>
        <v>0</v>
      </c>
    </row>
    <row r="37" ht="15.75" customHeight="1">
      <c r="A37" s="7" t="s">
        <v>106</v>
      </c>
      <c r="B37" s="7" t="s">
        <v>107</v>
      </c>
      <c r="C37" s="7" t="s">
        <v>315</v>
      </c>
      <c r="D37" s="7" t="s">
        <v>281</v>
      </c>
      <c r="E37" s="18">
        <v>0.0</v>
      </c>
      <c r="F37" s="19">
        <v>0.0</v>
      </c>
      <c r="G37" s="19">
        <v>0.0</v>
      </c>
      <c r="H37" s="6">
        <f>E37*PV_SESSION+F37*PV_CHALLENGE+G37*PV_WIN</f>
        <v>0</v>
      </c>
    </row>
    <row r="38" ht="15.75" customHeight="1">
      <c r="A38" s="7" t="s">
        <v>108</v>
      </c>
      <c r="B38" s="7" t="s">
        <v>109</v>
      </c>
      <c r="C38" s="7" t="s">
        <v>316</v>
      </c>
      <c r="D38" s="7" t="s">
        <v>279</v>
      </c>
      <c r="E38" s="18">
        <v>0.0</v>
      </c>
      <c r="F38" s="18">
        <v>0.0</v>
      </c>
      <c r="G38" s="19">
        <v>0.0</v>
      </c>
      <c r="H38" s="6">
        <f>E38*PV_SESSION+F38*PV_CHALLENGE+G38*PV_WIN</f>
        <v>0</v>
      </c>
    </row>
    <row r="39" ht="15.75" customHeight="1">
      <c r="A39" s="7" t="s">
        <v>108</v>
      </c>
      <c r="B39" s="7" t="s">
        <v>109</v>
      </c>
      <c r="C39" s="7" t="s">
        <v>317</v>
      </c>
      <c r="D39" s="7" t="s">
        <v>281</v>
      </c>
      <c r="E39" s="18">
        <v>0.0</v>
      </c>
      <c r="F39" s="18">
        <v>0.0</v>
      </c>
      <c r="G39" s="19">
        <v>0.0</v>
      </c>
      <c r="H39" s="6">
        <f>E39*PV_SESSION+F39*PV_CHALLENGE+G39*PV_WIN</f>
        <v>0</v>
      </c>
    </row>
    <row r="40" ht="15.75" customHeight="1">
      <c r="A40" s="7" t="s">
        <v>110</v>
      </c>
      <c r="B40" s="7" t="s">
        <v>111</v>
      </c>
      <c r="C40" s="7" t="s">
        <v>318</v>
      </c>
      <c r="D40" s="7" t="s">
        <v>279</v>
      </c>
      <c r="E40" s="18">
        <v>0.0</v>
      </c>
      <c r="F40" s="18">
        <v>0.0</v>
      </c>
      <c r="G40" s="18">
        <v>0.0</v>
      </c>
      <c r="H40" s="6">
        <f>E40*PV_SESSION+F40*PV_CHALLENGE+G40*PV_WIN</f>
        <v>0</v>
      </c>
    </row>
    <row r="41" ht="15.75" customHeight="1">
      <c r="A41" s="7" t="s">
        <v>110</v>
      </c>
      <c r="B41" s="7" t="s">
        <v>111</v>
      </c>
      <c r="C41" s="7" t="s">
        <v>319</v>
      </c>
      <c r="D41" s="7" t="s">
        <v>281</v>
      </c>
      <c r="E41" s="18">
        <v>0.0</v>
      </c>
      <c r="F41" s="19">
        <v>0.0</v>
      </c>
      <c r="G41" s="19">
        <v>0.0</v>
      </c>
      <c r="H41" s="6">
        <f>E41*PV_SESSION+F41*PV_CHALLENGE+G41*PV_WIN</f>
        <v>0</v>
      </c>
    </row>
    <row r="42" ht="15.75" customHeight="1">
      <c r="A42" s="7" t="s">
        <v>110</v>
      </c>
      <c r="B42" s="7" t="s">
        <v>111</v>
      </c>
      <c r="C42" s="7" t="s">
        <v>320</v>
      </c>
      <c r="D42" s="7" t="s">
        <v>281</v>
      </c>
      <c r="E42" s="18">
        <v>0.0</v>
      </c>
      <c r="F42" s="18">
        <v>0.0</v>
      </c>
      <c r="G42" s="19">
        <v>0.0</v>
      </c>
      <c r="H42" s="6">
        <f>E42*PV_SESSION+F42*PV_CHALLENGE+G42*PV_WIN</f>
        <v>0</v>
      </c>
    </row>
    <row r="43" ht="15.75" customHeight="1">
      <c r="A43" s="7" t="s">
        <v>112</v>
      </c>
      <c r="B43" s="7" t="s">
        <v>113</v>
      </c>
      <c r="C43" s="7" t="s">
        <v>321</v>
      </c>
      <c r="D43" s="7" t="s">
        <v>279</v>
      </c>
      <c r="E43" s="19">
        <v>0.0</v>
      </c>
      <c r="F43" s="18">
        <v>0.0</v>
      </c>
      <c r="G43" s="19">
        <v>0.0</v>
      </c>
      <c r="H43" s="6">
        <f>E43*PV_SESSION+F43*PV_CHALLENGE+G43*PV_WIN</f>
        <v>0</v>
      </c>
    </row>
    <row r="44" ht="15.75" customHeight="1">
      <c r="A44" s="7" t="s">
        <v>112</v>
      </c>
      <c r="B44" s="7" t="s">
        <v>113</v>
      </c>
      <c r="C44" s="7" t="s">
        <v>322</v>
      </c>
      <c r="D44" s="7" t="s">
        <v>281</v>
      </c>
      <c r="E44" s="18">
        <v>0.0</v>
      </c>
      <c r="F44" s="18">
        <v>0.0</v>
      </c>
      <c r="G44" s="18">
        <v>0.0</v>
      </c>
      <c r="H44" s="6">
        <f>E44*PV_SESSION+F44*PV_CHALLENGE+G44*PV_WIN</f>
        <v>0</v>
      </c>
    </row>
    <row r="45" ht="15.75" customHeight="1">
      <c r="A45" s="7" t="s">
        <v>112</v>
      </c>
      <c r="B45" s="7" t="s">
        <v>113</v>
      </c>
      <c r="C45" s="7" t="s">
        <v>323</v>
      </c>
      <c r="D45" s="7" t="s">
        <v>281</v>
      </c>
      <c r="E45" s="18">
        <v>0.0</v>
      </c>
      <c r="F45" s="18">
        <v>0.0</v>
      </c>
      <c r="G45" s="18">
        <v>0.0</v>
      </c>
      <c r="H45" s="6">
        <f>E45*PV_SESSION+F45*PV_CHALLENGE+G45*PV_WIN</f>
        <v>0</v>
      </c>
    </row>
    <row r="46" ht="15.75" customHeight="1">
      <c r="A46" s="7" t="s">
        <v>114</v>
      </c>
      <c r="B46" s="7" t="s">
        <v>115</v>
      </c>
      <c r="C46" s="7" t="s">
        <v>324</v>
      </c>
      <c r="D46" s="7" t="s">
        <v>279</v>
      </c>
      <c r="E46" s="18">
        <v>0.0</v>
      </c>
      <c r="F46" s="18">
        <v>0.0</v>
      </c>
      <c r="G46" s="19">
        <v>0.0</v>
      </c>
      <c r="H46" s="6">
        <f>E46*PV_SESSION+F46*PV_CHALLENGE+G46*PV_WIN</f>
        <v>0</v>
      </c>
    </row>
    <row r="47" ht="15.75" customHeight="1">
      <c r="A47" s="7" t="s">
        <v>114</v>
      </c>
      <c r="B47" s="7" t="s">
        <v>115</v>
      </c>
      <c r="C47" s="7" t="s">
        <v>325</v>
      </c>
      <c r="D47" s="7" t="s">
        <v>281</v>
      </c>
      <c r="E47" s="18">
        <v>0.0</v>
      </c>
      <c r="F47" s="18">
        <v>0.0</v>
      </c>
      <c r="G47" s="19">
        <v>0.0</v>
      </c>
      <c r="H47" s="6">
        <f>E47*PV_SESSION+F47*PV_CHALLENGE+G47*PV_WIN</f>
        <v>0</v>
      </c>
    </row>
    <row r="48" ht="15.75" customHeight="1">
      <c r="A48" s="7" t="s">
        <v>114</v>
      </c>
      <c r="B48" s="7" t="s">
        <v>115</v>
      </c>
      <c r="C48" s="7" t="s">
        <v>326</v>
      </c>
      <c r="D48" s="7" t="s">
        <v>281</v>
      </c>
      <c r="E48" s="18">
        <v>0.0</v>
      </c>
      <c r="F48" s="19">
        <v>0.0</v>
      </c>
      <c r="G48" s="19">
        <v>0.0</v>
      </c>
      <c r="H48" s="6">
        <f>E48*PV_SESSION+F48*PV_CHALLENGE+G48*PV_WIN</f>
        <v>0</v>
      </c>
    </row>
    <row r="49" ht="15.75" customHeight="1">
      <c r="A49" s="7" t="s">
        <v>116</v>
      </c>
      <c r="B49" s="7" t="s">
        <v>117</v>
      </c>
      <c r="C49" s="7" t="s">
        <v>327</v>
      </c>
      <c r="D49" s="7" t="s">
        <v>279</v>
      </c>
      <c r="E49" s="18">
        <v>0.0</v>
      </c>
      <c r="F49" s="19">
        <v>0.0</v>
      </c>
      <c r="G49" s="19">
        <v>0.0</v>
      </c>
      <c r="H49" s="6">
        <f>E49*PV_SESSION+F49*PV_CHALLENGE+G49*PV_WIN</f>
        <v>0</v>
      </c>
    </row>
    <row r="50" ht="15.75" customHeight="1">
      <c r="A50" s="7" t="s">
        <v>116</v>
      </c>
      <c r="B50" s="7" t="s">
        <v>117</v>
      </c>
      <c r="C50" s="7" t="s">
        <v>328</v>
      </c>
      <c r="D50" s="7" t="s">
        <v>281</v>
      </c>
      <c r="E50" s="18">
        <v>0.0</v>
      </c>
      <c r="F50" s="18">
        <v>0.0</v>
      </c>
      <c r="G50" s="19">
        <v>0.0</v>
      </c>
      <c r="H50" s="6">
        <f>E50*PV_SESSION+F50*PV_CHALLENGE+G50*PV_WIN</f>
        <v>0</v>
      </c>
    </row>
    <row r="51" ht="15.75" customHeight="1">
      <c r="A51" s="7" t="s">
        <v>118</v>
      </c>
      <c r="B51" s="7" t="s">
        <v>119</v>
      </c>
      <c r="C51" s="7" t="s">
        <v>329</v>
      </c>
      <c r="D51" s="7" t="s">
        <v>279</v>
      </c>
      <c r="E51" s="18">
        <v>0.0</v>
      </c>
      <c r="F51" s="19">
        <v>0.0</v>
      </c>
      <c r="G51" s="19">
        <v>0.0</v>
      </c>
      <c r="H51" s="6">
        <f>E51*PV_SESSION+F51*PV_CHALLENGE+G51*PV_WIN</f>
        <v>0</v>
      </c>
    </row>
    <row r="52" ht="15.75" customHeight="1">
      <c r="A52" s="7" t="s">
        <v>118</v>
      </c>
      <c r="B52" s="7" t="s">
        <v>119</v>
      </c>
      <c r="C52" s="7" t="s">
        <v>330</v>
      </c>
      <c r="D52" s="7" t="s">
        <v>281</v>
      </c>
      <c r="E52" s="18">
        <v>0.0</v>
      </c>
      <c r="F52" s="18">
        <v>0.0</v>
      </c>
      <c r="G52" s="18">
        <v>0.0</v>
      </c>
      <c r="H52" s="6">
        <f>E52*PV_SESSION+F52*PV_CHALLENGE+G52*PV_WIN</f>
        <v>0</v>
      </c>
    </row>
    <row r="53" ht="15.75" customHeight="1">
      <c r="A53" s="7" t="s">
        <v>120</v>
      </c>
      <c r="B53" s="7" t="s">
        <v>121</v>
      </c>
      <c r="C53" s="7" t="s">
        <v>331</v>
      </c>
      <c r="D53" s="7" t="s">
        <v>279</v>
      </c>
      <c r="E53" s="19">
        <v>0.0</v>
      </c>
      <c r="F53" s="19">
        <v>0.0</v>
      </c>
      <c r="G53" s="19">
        <v>0.0</v>
      </c>
      <c r="H53" s="6">
        <f>E53*PV_SESSION+F53*PV_CHALLENGE+G53*PV_WIN</f>
        <v>0</v>
      </c>
    </row>
    <row r="54" ht="15.75" customHeight="1">
      <c r="A54" s="7" t="s">
        <v>120</v>
      </c>
      <c r="B54" s="7" t="s">
        <v>121</v>
      </c>
      <c r="C54" s="7" t="s">
        <v>332</v>
      </c>
      <c r="D54" s="7" t="s">
        <v>281</v>
      </c>
      <c r="E54" s="18">
        <v>0.0</v>
      </c>
      <c r="F54" s="18">
        <v>0.0</v>
      </c>
      <c r="G54" s="19">
        <v>0.0</v>
      </c>
      <c r="H54" s="6">
        <f>E54*PV_SESSION+F54*PV_CHALLENGE+G54*PV_WIN</f>
        <v>0</v>
      </c>
    </row>
    <row r="55" ht="15.75" customHeight="1">
      <c r="A55" s="7" t="s">
        <v>120</v>
      </c>
      <c r="B55" s="7" t="s">
        <v>121</v>
      </c>
      <c r="C55" s="7" t="s">
        <v>333</v>
      </c>
      <c r="D55" s="7" t="s">
        <v>281</v>
      </c>
      <c r="E55" s="18">
        <v>0.0</v>
      </c>
      <c r="F55" s="18">
        <v>0.0</v>
      </c>
      <c r="G55" s="19">
        <v>0.0</v>
      </c>
      <c r="H55" s="6">
        <f>E55*PV_SESSION+F55*PV_CHALLENGE+G55*PV_WIN</f>
        <v>0</v>
      </c>
    </row>
    <row r="56" ht="15.75" customHeight="1">
      <c r="A56" s="7" t="s">
        <v>122</v>
      </c>
      <c r="B56" s="7" t="s">
        <v>123</v>
      </c>
      <c r="C56" s="7" t="s">
        <v>334</v>
      </c>
      <c r="D56" s="7" t="s">
        <v>279</v>
      </c>
      <c r="E56" s="18">
        <v>0.0</v>
      </c>
      <c r="F56" s="18">
        <v>0.0</v>
      </c>
      <c r="G56" s="19">
        <v>0.0</v>
      </c>
      <c r="H56" s="6">
        <f>E56*PV_SESSION+F56*PV_CHALLENGE+G56*PV_WIN</f>
        <v>0</v>
      </c>
    </row>
    <row r="57" ht="15.75" customHeight="1">
      <c r="A57" s="7" t="s">
        <v>124</v>
      </c>
      <c r="B57" s="7" t="s">
        <v>125</v>
      </c>
      <c r="C57" s="7" t="s">
        <v>335</v>
      </c>
      <c r="D57" s="7" t="s">
        <v>279</v>
      </c>
      <c r="E57" s="18">
        <v>0.0</v>
      </c>
      <c r="F57" s="18">
        <v>0.0</v>
      </c>
      <c r="G57" s="19">
        <v>0.0</v>
      </c>
      <c r="H57" s="6">
        <f>E57*PV_SESSION+F57*PV_CHALLENGE+G57*PV_WIN</f>
        <v>0</v>
      </c>
    </row>
    <row r="58" ht="15.75" customHeight="1">
      <c r="A58" s="7" t="s">
        <v>124</v>
      </c>
      <c r="B58" s="7" t="s">
        <v>125</v>
      </c>
      <c r="C58" s="7" t="s">
        <v>336</v>
      </c>
      <c r="D58" s="7" t="s">
        <v>281</v>
      </c>
      <c r="E58" s="18">
        <v>0.0</v>
      </c>
      <c r="F58" s="19">
        <v>0.0</v>
      </c>
      <c r="G58" s="18">
        <v>0.0</v>
      </c>
      <c r="H58" s="6">
        <f>E58*PV_SESSION+F58*PV_CHALLENGE+G58*PV_WIN</f>
        <v>0</v>
      </c>
    </row>
    <row r="59" ht="15.75" customHeight="1">
      <c r="A59" s="7" t="s">
        <v>126</v>
      </c>
      <c r="B59" s="7" t="s">
        <v>127</v>
      </c>
      <c r="C59" s="7" t="s">
        <v>337</v>
      </c>
      <c r="D59" s="7" t="s">
        <v>279</v>
      </c>
      <c r="E59" s="18">
        <v>0.0</v>
      </c>
      <c r="F59" s="19">
        <v>0.0</v>
      </c>
      <c r="G59" s="19">
        <v>0.0</v>
      </c>
      <c r="H59" s="6">
        <f>E59*PV_SESSION+F59*PV_CHALLENGE+G59*PV_WIN</f>
        <v>0</v>
      </c>
    </row>
    <row r="60" ht="15.75" customHeight="1">
      <c r="A60" s="7" t="s">
        <v>126</v>
      </c>
      <c r="B60" s="7" t="s">
        <v>127</v>
      </c>
      <c r="C60" s="7" t="s">
        <v>338</v>
      </c>
      <c r="D60" s="7" t="s">
        <v>281</v>
      </c>
      <c r="E60" s="18">
        <v>0.0</v>
      </c>
      <c r="F60" s="18">
        <v>0.0</v>
      </c>
      <c r="G60" s="19">
        <v>0.0</v>
      </c>
      <c r="H60" s="6">
        <f>E60*PV_SESSION+F60*PV_CHALLENGE+G60*PV_WIN</f>
        <v>0</v>
      </c>
    </row>
    <row r="61" ht="15.75" customHeight="1">
      <c r="A61" s="7" t="s">
        <v>128</v>
      </c>
      <c r="B61" s="7" t="s">
        <v>129</v>
      </c>
      <c r="C61" s="7" t="s">
        <v>339</v>
      </c>
      <c r="D61" s="7" t="s">
        <v>279</v>
      </c>
      <c r="E61" s="19">
        <v>0.0</v>
      </c>
      <c r="F61" s="18">
        <v>0.0</v>
      </c>
      <c r="G61" s="19">
        <v>0.0</v>
      </c>
      <c r="H61" s="6">
        <f>E61*PV_SESSION+F61*PV_CHALLENGE+G61*PV_WIN</f>
        <v>0</v>
      </c>
    </row>
    <row r="62" ht="15.75" customHeight="1">
      <c r="A62" s="7" t="s">
        <v>130</v>
      </c>
      <c r="B62" s="7" t="s">
        <v>131</v>
      </c>
      <c r="C62" s="7" t="s">
        <v>340</v>
      </c>
      <c r="D62" s="7" t="s">
        <v>279</v>
      </c>
      <c r="E62" s="18">
        <v>0.0</v>
      </c>
      <c r="F62" s="18">
        <v>0.0</v>
      </c>
      <c r="G62" s="18">
        <v>0.0</v>
      </c>
      <c r="H62" s="6">
        <f>E62*PV_SESSION+F62*PV_CHALLENGE+G62*PV_WIN</f>
        <v>0</v>
      </c>
    </row>
    <row r="63" ht="15.75" customHeight="1">
      <c r="A63" s="7" t="s">
        <v>132</v>
      </c>
      <c r="B63" s="7" t="s">
        <v>133</v>
      </c>
      <c r="C63" s="7" t="s">
        <v>341</v>
      </c>
      <c r="D63" s="7" t="s">
        <v>279</v>
      </c>
      <c r="E63" s="18">
        <v>0.0</v>
      </c>
      <c r="F63" s="18">
        <v>0.0</v>
      </c>
      <c r="G63" s="19">
        <v>0.0</v>
      </c>
      <c r="H63" s="6">
        <f>E63*PV_SESSION+F63*PV_CHALLENGE+G63*PV_WIN</f>
        <v>0</v>
      </c>
    </row>
    <row r="64" ht="15.75" customHeight="1">
      <c r="A64" s="7" t="s">
        <v>134</v>
      </c>
      <c r="B64" s="7" t="s">
        <v>135</v>
      </c>
      <c r="C64" s="7" t="s">
        <v>342</v>
      </c>
      <c r="D64" s="7" t="s">
        <v>279</v>
      </c>
      <c r="E64" s="18">
        <v>0.0</v>
      </c>
      <c r="F64" s="18">
        <v>0.0</v>
      </c>
      <c r="G64" s="19">
        <v>0.0</v>
      </c>
      <c r="H64" s="6">
        <f>E64*PV_SESSION+F64*PV_CHALLENGE+G64*PV_WIN</f>
        <v>0</v>
      </c>
    </row>
    <row r="65" ht="15.75" customHeight="1">
      <c r="A65" s="7" t="s">
        <v>136</v>
      </c>
      <c r="B65" s="7" t="s">
        <v>137</v>
      </c>
      <c r="C65" s="7" t="s">
        <v>343</v>
      </c>
      <c r="D65" s="7" t="s">
        <v>279</v>
      </c>
      <c r="E65" s="18">
        <v>0.0</v>
      </c>
      <c r="F65" s="18">
        <v>0.0</v>
      </c>
      <c r="G65" s="19">
        <v>0.0</v>
      </c>
      <c r="H65" s="6">
        <f>E65*PV_SESSION+F65*PV_CHALLENGE+G65*PV_WIN</f>
        <v>0</v>
      </c>
    </row>
    <row r="66" ht="15.75" customHeight="1">
      <c r="A66" s="7" t="s">
        <v>138</v>
      </c>
      <c r="B66" s="7" t="s">
        <v>139</v>
      </c>
      <c r="C66" s="7" t="s">
        <v>344</v>
      </c>
      <c r="D66" s="7" t="s">
        <v>279</v>
      </c>
      <c r="E66" s="18">
        <v>0.0</v>
      </c>
      <c r="F66" s="18">
        <v>0.0</v>
      </c>
      <c r="G66" s="18">
        <v>0.0</v>
      </c>
      <c r="H66" s="6">
        <f>E66*PV_SESSION+F66*PV_CHALLENGE+G66*PV_WIN</f>
        <v>0</v>
      </c>
    </row>
    <row r="67" ht="15.75" customHeight="1">
      <c r="A67" s="7" t="s">
        <v>138</v>
      </c>
      <c r="B67" s="7" t="s">
        <v>139</v>
      </c>
      <c r="C67" s="7" t="s">
        <v>345</v>
      </c>
      <c r="D67" s="7" t="s">
        <v>281</v>
      </c>
      <c r="E67" s="18">
        <v>0.0</v>
      </c>
      <c r="F67" s="18">
        <v>0.0</v>
      </c>
      <c r="G67" s="18">
        <v>0.0</v>
      </c>
      <c r="H67" s="6">
        <f>E67*PV_SESSION+F67*PV_CHALLENGE+G67*PV_WIN</f>
        <v>0</v>
      </c>
    </row>
    <row r="68" ht="15.75" customHeight="1">
      <c r="A68" s="7" t="s">
        <v>140</v>
      </c>
      <c r="B68" s="7" t="s">
        <v>141</v>
      </c>
      <c r="C68" s="7" t="s">
        <v>346</v>
      </c>
      <c r="D68" s="7" t="s">
        <v>279</v>
      </c>
      <c r="E68" s="18">
        <v>0.0</v>
      </c>
      <c r="F68" s="18">
        <v>0.0</v>
      </c>
      <c r="G68" s="18">
        <v>0.0</v>
      </c>
      <c r="H68" s="6">
        <f>E68*PV_SESSION+F68*PV_CHALLENGE+G68*PV_WIN</f>
        <v>0</v>
      </c>
    </row>
    <row r="69" ht="15.75" customHeight="1">
      <c r="A69" s="7" t="s">
        <v>140</v>
      </c>
      <c r="B69" s="7" t="s">
        <v>141</v>
      </c>
      <c r="C69" s="7" t="s">
        <v>347</v>
      </c>
      <c r="D69" s="7" t="s">
        <v>281</v>
      </c>
      <c r="E69" s="19">
        <v>0.0</v>
      </c>
      <c r="F69" s="19">
        <v>0.0</v>
      </c>
      <c r="G69" s="19">
        <v>0.0</v>
      </c>
      <c r="H69" s="6">
        <f>E69*PV_SESSION+F69*PV_CHALLENGE+G69*PV_WIN</f>
        <v>0</v>
      </c>
    </row>
    <row r="70" ht="15.75" customHeight="1">
      <c r="A70" s="7" t="s">
        <v>142</v>
      </c>
      <c r="B70" s="7" t="s">
        <v>143</v>
      </c>
      <c r="C70" s="7" t="s">
        <v>348</v>
      </c>
      <c r="D70" s="7" t="s">
        <v>279</v>
      </c>
      <c r="E70" s="19">
        <v>0.0</v>
      </c>
      <c r="F70" s="19">
        <v>0.0</v>
      </c>
      <c r="G70" s="19">
        <v>0.0</v>
      </c>
      <c r="H70" s="6">
        <f>E70*PV_SESSION+F70*PV_CHALLENGE+G70*PV_WIN</f>
        <v>0</v>
      </c>
    </row>
    <row r="71" ht="15.75" customHeight="1">
      <c r="A71" s="7" t="s">
        <v>144</v>
      </c>
      <c r="B71" s="7" t="s">
        <v>145</v>
      </c>
      <c r="C71" s="7" t="s">
        <v>349</v>
      </c>
      <c r="D71" s="7" t="s">
        <v>279</v>
      </c>
      <c r="E71" s="18">
        <v>0.0</v>
      </c>
      <c r="F71" s="18">
        <v>0.0</v>
      </c>
      <c r="G71" s="19">
        <v>0.0</v>
      </c>
      <c r="H71" s="6">
        <f>E71*PV_SESSION+F71*PV_CHALLENGE+G71*PV_WIN</f>
        <v>0</v>
      </c>
    </row>
    <row r="72" ht="15.75" customHeight="1">
      <c r="A72" s="7" t="s">
        <v>146</v>
      </c>
      <c r="B72" s="7" t="s">
        <v>147</v>
      </c>
      <c r="C72" s="7" t="s">
        <v>350</v>
      </c>
      <c r="D72" s="7" t="s">
        <v>279</v>
      </c>
      <c r="E72" s="19">
        <v>0.0</v>
      </c>
      <c r="F72" s="18">
        <v>0.0</v>
      </c>
      <c r="G72" s="19">
        <v>0.0</v>
      </c>
      <c r="H72" s="6">
        <f>E72*PV_SESSION+F72*PV_CHALLENGE+G72*PV_WIN</f>
        <v>0</v>
      </c>
    </row>
    <row r="73" ht="15.75" customHeight="1">
      <c r="A73" s="7" t="s">
        <v>146</v>
      </c>
      <c r="B73" s="7" t="s">
        <v>147</v>
      </c>
      <c r="C73" s="7" t="s">
        <v>351</v>
      </c>
      <c r="D73" s="7" t="s">
        <v>281</v>
      </c>
      <c r="E73" s="19">
        <v>0.0</v>
      </c>
      <c r="F73" s="19">
        <v>0.0</v>
      </c>
      <c r="G73" s="19">
        <v>0.0</v>
      </c>
      <c r="H73" s="6">
        <f>E73*PV_SESSION+F73*PV_CHALLENGE+G73*PV_WIN</f>
        <v>0</v>
      </c>
    </row>
    <row r="74" ht="15.75" customHeight="1">
      <c r="A74" s="7" t="s">
        <v>148</v>
      </c>
      <c r="B74" s="7" t="s">
        <v>149</v>
      </c>
      <c r="C74" s="7" t="s">
        <v>352</v>
      </c>
      <c r="D74" s="7" t="s">
        <v>279</v>
      </c>
      <c r="E74" s="18">
        <v>0.0</v>
      </c>
      <c r="F74" s="19">
        <v>0.0</v>
      </c>
      <c r="G74" s="19">
        <v>0.0</v>
      </c>
      <c r="H74" s="6">
        <f>E74*PV_SESSION+F74*PV_CHALLENGE+G74*PV_WIN</f>
        <v>0</v>
      </c>
    </row>
    <row r="75" ht="15.75" customHeight="1">
      <c r="A75" s="7" t="s">
        <v>148</v>
      </c>
      <c r="B75" s="7" t="s">
        <v>149</v>
      </c>
      <c r="C75" s="7" t="s">
        <v>353</v>
      </c>
      <c r="D75" s="7" t="s">
        <v>281</v>
      </c>
      <c r="E75" s="18">
        <v>0.0</v>
      </c>
      <c r="F75" s="19">
        <v>0.0</v>
      </c>
      <c r="G75" s="19">
        <v>0.0</v>
      </c>
      <c r="H75" s="6">
        <f>E75*PV_SESSION+F75*PV_CHALLENGE+G75*PV_WIN</f>
        <v>0</v>
      </c>
    </row>
    <row r="76" ht="15.75" customHeight="1">
      <c r="A76" s="7" t="s">
        <v>150</v>
      </c>
      <c r="B76" s="7" t="s">
        <v>151</v>
      </c>
      <c r="C76" s="7" t="s">
        <v>354</v>
      </c>
      <c r="D76" s="7" t="s">
        <v>279</v>
      </c>
      <c r="E76" s="18">
        <v>0.0</v>
      </c>
      <c r="F76" s="18">
        <v>0.0</v>
      </c>
      <c r="G76" s="19">
        <v>0.0</v>
      </c>
      <c r="H76" s="6">
        <f>E76*PV_SESSION+F76*PV_CHALLENGE+G76*PV_WIN</f>
        <v>0</v>
      </c>
    </row>
    <row r="77" ht="15.75" customHeight="1">
      <c r="A77" s="7" t="s">
        <v>150</v>
      </c>
      <c r="B77" s="7" t="s">
        <v>151</v>
      </c>
      <c r="C77" s="7" t="s">
        <v>355</v>
      </c>
      <c r="D77" s="7" t="s">
        <v>281</v>
      </c>
      <c r="E77" s="19">
        <v>0.0</v>
      </c>
      <c r="F77" s="19">
        <v>0.0</v>
      </c>
      <c r="G77" s="19">
        <v>0.0</v>
      </c>
      <c r="H77" s="6">
        <f>E77*PV_SESSION+F77*PV_CHALLENGE+G77*PV_WIN</f>
        <v>0</v>
      </c>
    </row>
    <row r="78" ht="15.75" customHeight="1">
      <c r="A78" s="7" t="s">
        <v>150</v>
      </c>
      <c r="B78" s="7" t="s">
        <v>151</v>
      </c>
      <c r="C78" s="7" t="s">
        <v>356</v>
      </c>
      <c r="D78" s="7" t="s">
        <v>281</v>
      </c>
      <c r="E78" s="18">
        <v>0.0</v>
      </c>
      <c r="F78" s="18">
        <v>0.0</v>
      </c>
      <c r="G78" s="19">
        <v>0.0</v>
      </c>
      <c r="H78" s="6">
        <f>E78*PV_SESSION+F78*PV_CHALLENGE+G78*PV_WIN</f>
        <v>0</v>
      </c>
    </row>
    <row r="79" ht="15.75" customHeight="1">
      <c r="A79" s="7" t="s">
        <v>152</v>
      </c>
      <c r="B79" s="7" t="s">
        <v>153</v>
      </c>
      <c r="C79" s="7" t="s">
        <v>357</v>
      </c>
      <c r="D79" s="7" t="s">
        <v>279</v>
      </c>
      <c r="E79" s="18">
        <v>0.0</v>
      </c>
      <c r="F79" s="18">
        <v>0.0</v>
      </c>
      <c r="G79" s="19">
        <v>0.0</v>
      </c>
      <c r="H79" s="6">
        <f>E79*PV_SESSION+F79*PV_CHALLENGE+G79*PV_WIN</f>
        <v>0</v>
      </c>
    </row>
    <row r="80" ht="15.75" customHeight="1">
      <c r="A80" s="7" t="s">
        <v>154</v>
      </c>
      <c r="B80" s="7" t="s">
        <v>155</v>
      </c>
      <c r="C80" s="7" t="s">
        <v>358</v>
      </c>
      <c r="D80" s="7" t="s">
        <v>279</v>
      </c>
      <c r="E80" s="18">
        <v>0.0</v>
      </c>
      <c r="F80" s="18">
        <v>0.0</v>
      </c>
      <c r="G80" s="18">
        <v>0.0</v>
      </c>
      <c r="H80" s="6">
        <f>E80*PV_SESSION+F80*PV_CHALLENGE+G80*PV_WIN</f>
        <v>0</v>
      </c>
    </row>
    <row r="81" ht="15.75" customHeight="1">
      <c r="A81" s="7" t="s">
        <v>154</v>
      </c>
      <c r="B81" s="7" t="s">
        <v>155</v>
      </c>
      <c r="C81" s="7" t="s">
        <v>359</v>
      </c>
      <c r="D81" s="7" t="s">
        <v>281</v>
      </c>
      <c r="E81" s="19">
        <v>0.0</v>
      </c>
      <c r="F81" s="19">
        <v>0.0</v>
      </c>
      <c r="G81" s="19">
        <v>0.0</v>
      </c>
      <c r="H81" s="6">
        <f>E81*PV_SESSION+F81*PV_CHALLENGE+G81*PV_WIN</f>
        <v>0</v>
      </c>
    </row>
    <row r="82" ht="15.75" customHeight="1">
      <c r="A82" s="7" t="s">
        <v>154</v>
      </c>
      <c r="B82" s="7" t="s">
        <v>155</v>
      </c>
      <c r="C82" s="7" t="s">
        <v>360</v>
      </c>
      <c r="D82" s="7" t="s">
        <v>281</v>
      </c>
      <c r="E82" s="18">
        <v>0.0</v>
      </c>
      <c r="F82" s="18">
        <v>0.0</v>
      </c>
      <c r="G82" s="18">
        <v>0.0</v>
      </c>
      <c r="H82" s="6">
        <f>E82*PV_SESSION+F82*PV_CHALLENGE+G82*PV_WIN</f>
        <v>0</v>
      </c>
    </row>
    <row r="83" ht="15.75" customHeight="1">
      <c r="A83" s="7" t="s">
        <v>156</v>
      </c>
      <c r="B83" s="7" t="s">
        <v>157</v>
      </c>
      <c r="C83" s="7" t="s">
        <v>361</v>
      </c>
      <c r="D83" s="7" t="s">
        <v>279</v>
      </c>
      <c r="E83" s="18">
        <v>0.0</v>
      </c>
      <c r="F83" s="18">
        <v>0.0</v>
      </c>
      <c r="G83" s="18">
        <v>0.0</v>
      </c>
      <c r="H83" s="6">
        <f>E83*PV_SESSION+F83*PV_CHALLENGE+G83*PV_WIN</f>
        <v>0</v>
      </c>
    </row>
    <row r="84" ht="15.75" customHeight="1">
      <c r="A84" s="7" t="s">
        <v>156</v>
      </c>
      <c r="B84" s="7" t="s">
        <v>157</v>
      </c>
      <c r="C84" s="7" t="s">
        <v>362</v>
      </c>
      <c r="D84" s="7" t="s">
        <v>281</v>
      </c>
      <c r="E84" s="19">
        <v>0.0</v>
      </c>
      <c r="F84" s="18">
        <v>0.0</v>
      </c>
      <c r="G84" s="19">
        <v>0.0</v>
      </c>
      <c r="H84" s="6">
        <f>E84*PV_SESSION+F84*PV_CHALLENGE+G84*PV_WIN</f>
        <v>0</v>
      </c>
    </row>
    <row r="85" ht="15.75" customHeight="1">
      <c r="A85" s="7" t="s">
        <v>158</v>
      </c>
      <c r="B85" s="7" t="s">
        <v>159</v>
      </c>
      <c r="C85" s="7" t="s">
        <v>363</v>
      </c>
      <c r="D85" s="7" t="s">
        <v>279</v>
      </c>
      <c r="E85" s="19">
        <v>0.0</v>
      </c>
      <c r="F85" s="18">
        <v>0.0</v>
      </c>
      <c r="G85" s="18">
        <v>0.0</v>
      </c>
      <c r="H85" s="6">
        <f>E85*PV_SESSION+F85*PV_CHALLENGE+G85*PV_WIN</f>
        <v>0</v>
      </c>
    </row>
    <row r="86" ht="15.75" customHeight="1">
      <c r="A86" s="7" t="s">
        <v>158</v>
      </c>
      <c r="B86" s="7" t="s">
        <v>159</v>
      </c>
      <c r="C86" s="7" t="s">
        <v>364</v>
      </c>
      <c r="D86" s="7" t="s">
        <v>281</v>
      </c>
      <c r="E86" s="18">
        <v>0.0</v>
      </c>
      <c r="F86" s="18">
        <v>0.0</v>
      </c>
      <c r="G86" s="18">
        <v>0.0</v>
      </c>
      <c r="H86" s="6">
        <f>E86*PV_SESSION+F86*PV_CHALLENGE+G86*PV_WIN</f>
        <v>0</v>
      </c>
    </row>
    <row r="87" ht="15.75" customHeight="1">
      <c r="A87" s="7" t="s">
        <v>160</v>
      </c>
      <c r="B87" s="7" t="s">
        <v>161</v>
      </c>
      <c r="C87" s="7" t="s">
        <v>365</v>
      </c>
      <c r="D87" s="7" t="s">
        <v>279</v>
      </c>
      <c r="E87" s="18">
        <v>0.0</v>
      </c>
      <c r="F87" s="18">
        <v>0.0</v>
      </c>
      <c r="G87" s="18">
        <v>0.0</v>
      </c>
      <c r="H87" s="6">
        <f>E87*PV_SESSION+F87*PV_CHALLENGE+G87*PV_WIN</f>
        <v>0</v>
      </c>
    </row>
    <row r="88" ht="15.75" customHeight="1">
      <c r="A88" s="7" t="s">
        <v>160</v>
      </c>
      <c r="B88" s="7" t="s">
        <v>161</v>
      </c>
      <c r="C88" s="7" t="s">
        <v>366</v>
      </c>
      <c r="D88" s="7" t="s">
        <v>281</v>
      </c>
      <c r="E88" s="18">
        <v>0.0</v>
      </c>
      <c r="F88" s="18">
        <v>0.0</v>
      </c>
      <c r="G88" s="19">
        <v>0.0</v>
      </c>
      <c r="H88" s="6">
        <f>E88*PV_SESSION+F88*PV_CHALLENGE+G88*PV_WIN</f>
        <v>0</v>
      </c>
    </row>
    <row r="89" ht="15.75" customHeight="1">
      <c r="A89" s="7" t="s">
        <v>162</v>
      </c>
      <c r="B89" s="7" t="s">
        <v>163</v>
      </c>
      <c r="C89" s="7" t="s">
        <v>367</v>
      </c>
      <c r="D89" s="7" t="s">
        <v>279</v>
      </c>
      <c r="E89" s="18">
        <v>0.0</v>
      </c>
      <c r="F89" s="18">
        <v>0.0</v>
      </c>
      <c r="G89" s="18">
        <v>0.0</v>
      </c>
      <c r="H89" s="6">
        <f>E89*PV_SESSION+F89*PV_CHALLENGE+G89*PV_WIN</f>
        <v>0</v>
      </c>
    </row>
    <row r="90" ht="15.75" customHeight="1">
      <c r="A90" s="7" t="s">
        <v>164</v>
      </c>
      <c r="B90" s="7" t="s">
        <v>165</v>
      </c>
      <c r="C90" s="7" t="s">
        <v>368</v>
      </c>
      <c r="D90" s="7" t="s">
        <v>279</v>
      </c>
      <c r="E90" s="18">
        <v>0.0</v>
      </c>
      <c r="F90" s="18">
        <v>0.0</v>
      </c>
      <c r="G90" s="19">
        <v>0.0</v>
      </c>
      <c r="H90" s="6">
        <f>E90*PV_SESSION+F90*PV_CHALLENGE+G90*PV_WIN</f>
        <v>0</v>
      </c>
    </row>
    <row r="91" ht="15.75" customHeight="1">
      <c r="A91" s="7" t="s">
        <v>164</v>
      </c>
      <c r="B91" s="7" t="s">
        <v>165</v>
      </c>
      <c r="C91" s="7" t="s">
        <v>369</v>
      </c>
      <c r="D91" s="7" t="s">
        <v>281</v>
      </c>
      <c r="E91" s="18">
        <v>0.0</v>
      </c>
      <c r="F91" s="18">
        <v>0.0</v>
      </c>
      <c r="G91" s="19">
        <v>0.0</v>
      </c>
      <c r="H91" s="6">
        <f>E91*PV_SESSION+F91*PV_CHALLENGE+G91*PV_WIN</f>
        <v>0</v>
      </c>
    </row>
    <row r="92" ht="15.75" customHeight="1">
      <c r="A92" s="7" t="s">
        <v>164</v>
      </c>
      <c r="B92" s="7" t="s">
        <v>165</v>
      </c>
      <c r="C92" s="7" t="s">
        <v>370</v>
      </c>
      <c r="D92" s="7" t="s">
        <v>281</v>
      </c>
      <c r="E92" s="18">
        <v>0.0</v>
      </c>
      <c r="F92" s="19">
        <v>0.0</v>
      </c>
      <c r="G92" s="19">
        <v>0.0</v>
      </c>
      <c r="H92" s="6">
        <f>E92*PV_SESSION+F92*PV_CHALLENGE+G92*PV_WIN</f>
        <v>0</v>
      </c>
    </row>
    <row r="93" ht="15.75" customHeight="1">
      <c r="A93" s="7" t="s">
        <v>167</v>
      </c>
      <c r="B93" s="7" t="s">
        <v>168</v>
      </c>
      <c r="C93" s="7" t="s">
        <v>289</v>
      </c>
      <c r="D93" s="7" t="s">
        <v>279</v>
      </c>
      <c r="E93" s="18">
        <v>0.0</v>
      </c>
      <c r="F93" s="18">
        <v>0.0</v>
      </c>
      <c r="G93" s="19">
        <v>0.0</v>
      </c>
      <c r="H93" s="6">
        <f>E93*PV_SESSION+F93*PV_CHALLENGE+G93*PV_WIN</f>
        <v>0</v>
      </c>
    </row>
    <row r="94" ht="15.75" customHeight="1">
      <c r="A94" s="7" t="s">
        <v>167</v>
      </c>
      <c r="B94" s="7" t="s">
        <v>168</v>
      </c>
      <c r="C94" s="7" t="s">
        <v>371</v>
      </c>
      <c r="D94" s="7" t="s">
        <v>281</v>
      </c>
      <c r="E94" s="18">
        <v>0.0</v>
      </c>
      <c r="F94" s="18">
        <v>0.0</v>
      </c>
      <c r="G94" s="19">
        <v>0.0</v>
      </c>
      <c r="H94" s="6">
        <f>E94*PV_SESSION+F94*PV_CHALLENGE+G94*PV_WIN</f>
        <v>0</v>
      </c>
    </row>
    <row r="95" ht="15.75" customHeight="1">
      <c r="A95" s="7" t="s">
        <v>169</v>
      </c>
      <c r="B95" s="7" t="s">
        <v>170</v>
      </c>
      <c r="C95" s="7" t="s">
        <v>372</v>
      </c>
      <c r="D95" s="7" t="s">
        <v>279</v>
      </c>
      <c r="E95" s="18">
        <v>0.0</v>
      </c>
      <c r="F95" s="18">
        <v>0.0</v>
      </c>
      <c r="G95" s="19">
        <v>0.0</v>
      </c>
      <c r="H95" s="6">
        <f>E95*PV_SESSION+F95*PV_CHALLENGE+G95*PV_WIN</f>
        <v>0</v>
      </c>
    </row>
    <row r="96" ht="15.75" customHeight="1">
      <c r="A96" s="7" t="s">
        <v>169</v>
      </c>
      <c r="B96" s="7" t="s">
        <v>170</v>
      </c>
      <c r="C96" s="7" t="s">
        <v>373</v>
      </c>
      <c r="D96" s="7" t="s">
        <v>281</v>
      </c>
      <c r="E96" s="18">
        <v>0.0</v>
      </c>
      <c r="F96" s="19">
        <v>0.0</v>
      </c>
      <c r="G96" s="19">
        <v>0.0</v>
      </c>
      <c r="H96" s="6">
        <f>E96*PV_SESSION+F96*PV_CHALLENGE+G96*PV_WIN</f>
        <v>0</v>
      </c>
    </row>
    <row r="97" ht="15.75" customHeight="1">
      <c r="A97" s="7" t="s">
        <v>171</v>
      </c>
      <c r="B97" s="7" t="s">
        <v>172</v>
      </c>
      <c r="C97" s="7" t="s">
        <v>374</v>
      </c>
      <c r="D97" s="7" t="s">
        <v>279</v>
      </c>
      <c r="E97" s="18">
        <v>0.0</v>
      </c>
      <c r="F97" s="19">
        <v>0.0</v>
      </c>
      <c r="G97" s="19">
        <v>0.0</v>
      </c>
      <c r="H97" s="6">
        <f>E97*PV_SESSION+F97*PV_CHALLENGE+G97*PV_WIN</f>
        <v>0</v>
      </c>
    </row>
    <row r="98" ht="15.75" customHeight="1">
      <c r="A98" s="7" t="s">
        <v>173</v>
      </c>
      <c r="B98" s="7" t="s">
        <v>174</v>
      </c>
      <c r="C98" s="7" t="s">
        <v>375</v>
      </c>
      <c r="D98" s="7" t="s">
        <v>279</v>
      </c>
      <c r="E98" s="18">
        <v>0.0</v>
      </c>
      <c r="F98" s="18">
        <v>0.0</v>
      </c>
      <c r="G98" s="19">
        <v>0.0</v>
      </c>
      <c r="H98" s="6">
        <f>E98*PV_SESSION+F98*PV_CHALLENGE+G98*PV_WIN</f>
        <v>0</v>
      </c>
    </row>
    <row r="99" ht="15.75" customHeight="1">
      <c r="A99" s="7" t="s">
        <v>173</v>
      </c>
      <c r="B99" s="7" t="s">
        <v>174</v>
      </c>
      <c r="C99" s="7" t="s">
        <v>376</v>
      </c>
      <c r="D99" s="7" t="s">
        <v>281</v>
      </c>
      <c r="E99" s="18">
        <v>0.0</v>
      </c>
      <c r="F99" s="18">
        <v>0.0</v>
      </c>
      <c r="G99" s="19">
        <v>0.0</v>
      </c>
      <c r="H99" s="6">
        <f>E99*PV_SESSION+F99*PV_CHALLENGE+G99*PV_WIN</f>
        <v>0</v>
      </c>
    </row>
    <row r="100" ht="15.75" customHeight="1">
      <c r="A100" s="7" t="s">
        <v>173</v>
      </c>
      <c r="B100" s="7" t="s">
        <v>174</v>
      </c>
      <c r="C100" s="7" t="s">
        <v>377</v>
      </c>
      <c r="D100" s="7" t="s">
        <v>281</v>
      </c>
      <c r="E100" s="18">
        <v>0.0</v>
      </c>
      <c r="F100" s="18">
        <v>0.0</v>
      </c>
      <c r="G100" s="18">
        <v>0.0</v>
      </c>
      <c r="H100" s="6">
        <f>E100*PV_SESSION+F100*PV_CHALLENGE+G100*PV_WIN</f>
        <v>0</v>
      </c>
    </row>
    <row r="101" ht="15.75" customHeight="1">
      <c r="A101" s="7" t="s">
        <v>175</v>
      </c>
      <c r="B101" s="7" t="s">
        <v>176</v>
      </c>
      <c r="C101" s="7" t="s">
        <v>378</v>
      </c>
      <c r="D101" s="7" t="s">
        <v>279</v>
      </c>
      <c r="E101" s="18">
        <v>0.0</v>
      </c>
      <c r="F101" s="18">
        <v>0.0</v>
      </c>
      <c r="G101" s="19">
        <v>0.0</v>
      </c>
      <c r="H101" s="6">
        <f>E101*PV_SESSION+F101*PV_CHALLENGE+G101*PV_WIN</f>
        <v>0</v>
      </c>
    </row>
    <row r="102" ht="15.75" customHeight="1">
      <c r="A102" s="7" t="s">
        <v>175</v>
      </c>
      <c r="B102" s="7" t="s">
        <v>176</v>
      </c>
      <c r="C102" s="7" t="s">
        <v>379</v>
      </c>
      <c r="D102" s="7" t="s">
        <v>281</v>
      </c>
      <c r="E102" s="19">
        <v>0.0</v>
      </c>
      <c r="F102" s="18">
        <v>0.0</v>
      </c>
      <c r="G102" s="18">
        <v>0.0</v>
      </c>
      <c r="H102" s="6">
        <f>E102*PV_SESSION+F102*PV_CHALLENGE+G102*PV_WIN</f>
        <v>0</v>
      </c>
    </row>
    <row r="103" ht="15.75" customHeight="1">
      <c r="A103" s="7" t="s">
        <v>175</v>
      </c>
      <c r="B103" s="7" t="s">
        <v>176</v>
      </c>
      <c r="C103" s="7" t="s">
        <v>380</v>
      </c>
      <c r="D103" s="7" t="s">
        <v>281</v>
      </c>
      <c r="E103" s="18">
        <v>0.0</v>
      </c>
      <c r="F103" s="19">
        <v>0.0</v>
      </c>
      <c r="G103" s="19">
        <v>0.0</v>
      </c>
      <c r="H103" s="6">
        <f>E103*PV_SESSION+F103*PV_CHALLENGE+G103*PV_WIN</f>
        <v>0</v>
      </c>
    </row>
    <row r="104" ht="15.75" customHeight="1">
      <c r="A104" s="7" t="s">
        <v>177</v>
      </c>
      <c r="B104" s="7" t="s">
        <v>178</v>
      </c>
      <c r="C104" s="7" t="s">
        <v>381</v>
      </c>
      <c r="D104" s="7" t="s">
        <v>279</v>
      </c>
      <c r="E104" s="18">
        <v>0.0</v>
      </c>
      <c r="F104" s="18">
        <v>0.0</v>
      </c>
      <c r="G104" s="19">
        <v>0.0</v>
      </c>
      <c r="H104" s="6">
        <f>E104*PV_SESSION+F104*PV_CHALLENGE+G104*PV_WIN</f>
        <v>0</v>
      </c>
    </row>
    <row r="105" ht="15.75" customHeight="1">
      <c r="A105" s="7" t="s">
        <v>177</v>
      </c>
      <c r="B105" s="7" t="s">
        <v>178</v>
      </c>
      <c r="C105" s="7" t="s">
        <v>382</v>
      </c>
      <c r="D105" s="7" t="s">
        <v>281</v>
      </c>
      <c r="E105" s="18">
        <v>0.0</v>
      </c>
      <c r="F105" s="18">
        <v>0.0</v>
      </c>
      <c r="G105" s="19">
        <v>0.0</v>
      </c>
      <c r="H105" s="6">
        <f>E105*PV_SESSION+F105*PV_CHALLENGE+G105*PV_WIN</f>
        <v>0</v>
      </c>
    </row>
    <row r="106" ht="15.75" customHeight="1">
      <c r="A106" s="7" t="s">
        <v>179</v>
      </c>
      <c r="B106" s="7" t="s">
        <v>180</v>
      </c>
      <c r="C106" s="7" t="s">
        <v>383</v>
      </c>
      <c r="D106" s="7" t="s">
        <v>279</v>
      </c>
      <c r="E106" s="18">
        <v>0.0</v>
      </c>
      <c r="F106" s="19">
        <v>0.0</v>
      </c>
      <c r="G106" s="19">
        <v>0.0</v>
      </c>
      <c r="H106" s="6">
        <f>E106*PV_SESSION+F106*PV_CHALLENGE+G106*PV_WIN</f>
        <v>0</v>
      </c>
    </row>
    <row r="107" ht="15.75" customHeight="1">
      <c r="A107" s="7" t="s">
        <v>179</v>
      </c>
      <c r="B107" s="7" t="s">
        <v>180</v>
      </c>
      <c r="C107" s="7" t="s">
        <v>384</v>
      </c>
      <c r="D107" s="7" t="s">
        <v>281</v>
      </c>
      <c r="E107" s="18">
        <v>0.0</v>
      </c>
      <c r="F107" s="19">
        <v>0.0</v>
      </c>
      <c r="G107" s="19">
        <v>0.0</v>
      </c>
      <c r="H107" s="6">
        <f>E107*PV_SESSION+F107*PV_CHALLENGE+G107*PV_WIN</f>
        <v>0</v>
      </c>
    </row>
    <row r="108" ht="15.75" customHeight="1">
      <c r="A108" s="7" t="s">
        <v>179</v>
      </c>
      <c r="B108" s="7" t="s">
        <v>180</v>
      </c>
      <c r="C108" s="7" t="s">
        <v>385</v>
      </c>
      <c r="D108" s="7" t="s">
        <v>281</v>
      </c>
      <c r="E108" s="18">
        <v>0.0</v>
      </c>
      <c r="F108" s="18">
        <v>0.0</v>
      </c>
      <c r="G108" s="19">
        <v>0.0</v>
      </c>
      <c r="H108" s="6">
        <f>E108*PV_SESSION+F108*PV_CHALLENGE+G108*PV_WIN</f>
        <v>0</v>
      </c>
    </row>
    <row r="109" ht="15.75" customHeight="1">
      <c r="A109" s="7" t="s">
        <v>179</v>
      </c>
      <c r="B109" s="7" t="s">
        <v>180</v>
      </c>
      <c r="C109" s="7" t="s">
        <v>386</v>
      </c>
      <c r="D109" s="7" t="s">
        <v>281</v>
      </c>
      <c r="E109" s="18">
        <v>0.0</v>
      </c>
      <c r="F109" s="18">
        <v>0.0</v>
      </c>
      <c r="G109" s="19">
        <v>0.0</v>
      </c>
      <c r="H109" s="6">
        <f>E109*PV_SESSION+F109*PV_CHALLENGE+G109*PV_WIN</f>
        <v>0</v>
      </c>
    </row>
    <row r="110" ht="15.75" customHeight="1">
      <c r="A110" s="7" t="s">
        <v>181</v>
      </c>
      <c r="B110" s="7" t="s">
        <v>182</v>
      </c>
      <c r="C110" s="7" t="s">
        <v>387</v>
      </c>
      <c r="D110" s="7" t="s">
        <v>279</v>
      </c>
      <c r="E110" s="18">
        <v>0.0</v>
      </c>
      <c r="F110" s="18">
        <v>0.0</v>
      </c>
      <c r="G110" s="18">
        <v>0.0</v>
      </c>
      <c r="H110" s="6">
        <f>E110*PV_SESSION+F110*PV_CHALLENGE+G110*PV_WIN</f>
        <v>0</v>
      </c>
    </row>
    <row r="111" ht="15.75" customHeight="1">
      <c r="A111" s="7" t="s">
        <v>181</v>
      </c>
      <c r="B111" s="7" t="s">
        <v>182</v>
      </c>
      <c r="C111" s="7" t="s">
        <v>388</v>
      </c>
      <c r="D111" s="7" t="s">
        <v>281</v>
      </c>
      <c r="E111" s="18">
        <v>0.0</v>
      </c>
      <c r="F111" s="18">
        <v>0.0</v>
      </c>
      <c r="G111" s="19">
        <v>0.0</v>
      </c>
      <c r="H111" s="6">
        <f>E111*PV_SESSION+F111*PV_CHALLENGE+G111*PV_WIN</f>
        <v>0</v>
      </c>
    </row>
    <row r="112" ht="15.75" customHeight="1">
      <c r="A112" s="7" t="s">
        <v>183</v>
      </c>
      <c r="B112" s="7" t="s">
        <v>184</v>
      </c>
      <c r="C112" s="7" t="s">
        <v>389</v>
      </c>
      <c r="D112" s="7" t="s">
        <v>279</v>
      </c>
      <c r="E112" s="18">
        <v>0.0</v>
      </c>
      <c r="F112" s="18">
        <v>0.0</v>
      </c>
      <c r="G112" s="19">
        <v>0.0</v>
      </c>
      <c r="H112" s="6">
        <f>E112*PV_SESSION+F112*PV_CHALLENGE+G112*PV_WIN</f>
        <v>0</v>
      </c>
    </row>
    <row r="113" ht="15.75" customHeight="1">
      <c r="A113" s="7" t="s">
        <v>183</v>
      </c>
      <c r="B113" s="7" t="s">
        <v>184</v>
      </c>
      <c r="C113" s="7" t="s">
        <v>390</v>
      </c>
      <c r="D113" s="7" t="s">
        <v>281</v>
      </c>
      <c r="E113" s="18">
        <v>0.0</v>
      </c>
      <c r="F113" s="18">
        <v>0.0</v>
      </c>
      <c r="G113" s="19">
        <v>0.0</v>
      </c>
      <c r="H113" s="6">
        <f>E113*PV_SESSION+F113*PV_CHALLENGE+G113*PV_WIN</f>
        <v>0</v>
      </c>
    </row>
    <row r="114" ht="15.75" customHeight="1">
      <c r="A114" s="7" t="s">
        <v>185</v>
      </c>
      <c r="B114" s="7" t="s">
        <v>186</v>
      </c>
      <c r="C114" s="7" t="s">
        <v>391</v>
      </c>
      <c r="D114" s="7" t="s">
        <v>279</v>
      </c>
      <c r="E114" s="18">
        <v>0.0</v>
      </c>
      <c r="F114" s="18">
        <v>0.0</v>
      </c>
      <c r="G114" s="19">
        <v>0.0</v>
      </c>
      <c r="H114" s="6">
        <f>E114*PV_SESSION+F114*PV_CHALLENGE+G114*PV_WIN</f>
        <v>0</v>
      </c>
    </row>
    <row r="115" ht="15.75" customHeight="1">
      <c r="A115" s="7" t="s">
        <v>185</v>
      </c>
      <c r="B115" s="7" t="s">
        <v>186</v>
      </c>
      <c r="C115" s="7" t="s">
        <v>392</v>
      </c>
      <c r="D115" s="7" t="s">
        <v>281</v>
      </c>
      <c r="E115" s="18">
        <v>0.0</v>
      </c>
      <c r="F115" s="19">
        <v>0.0</v>
      </c>
      <c r="G115" s="19">
        <v>0.0</v>
      </c>
      <c r="H115" s="6">
        <f>E115*PV_SESSION+F115*PV_CHALLENGE+G115*PV_WIN</f>
        <v>0</v>
      </c>
    </row>
    <row r="116" ht="15.75" customHeight="1">
      <c r="A116" s="7" t="s">
        <v>185</v>
      </c>
      <c r="B116" s="7" t="s">
        <v>186</v>
      </c>
      <c r="C116" s="7" t="s">
        <v>393</v>
      </c>
      <c r="D116" s="7" t="s">
        <v>281</v>
      </c>
      <c r="E116" s="18">
        <v>0.0</v>
      </c>
      <c r="F116" s="18">
        <v>0.0</v>
      </c>
      <c r="G116" s="19">
        <v>0.0</v>
      </c>
      <c r="H116" s="6">
        <f>E116*PV_SESSION+F116*PV_CHALLENGE+G116*PV_WIN</f>
        <v>0</v>
      </c>
    </row>
    <row r="117" ht="15.75" customHeight="1">
      <c r="A117" s="7" t="s">
        <v>187</v>
      </c>
      <c r="B117" s="7" t="s">
        <v>188</v>
      </c>
      <c r="C117" s="7" t="s">
        <v>394</v>
      </c>
      <c r="D117" s="7" t="s">
        <v>279</v>
      </c>
      <c r="E117" s="19">
        <v>0.0</v>
      </c>
      <c r="F117" s="18">
        <v>0.0</v>
      </c>
      <c r="G117" s="18">
        <v>0.0</v>
      </c>
      <c r="H117" s="6">
        <f>E117*PV_SESSION+F117*PV_CHALLENGE+G117*PV_WIN</f>
        <v>0</v>
      </c>
    </row>
    <row r="118" ht="15.75" customHeight="1">
      <c r="A118" s="7" t="s">
        <v>187</v>
      </c>
      <c r="B118" s="7" t="s">
        <v>188</v>
      </c>
      <c r="C118" s="7" t="s">
        <v>395</v>
      </c>
      <c r="D118" s="7" t="s">
        <v>281</v>
      </c>
      <c r="E118" s="18">
        <v>0.0</v>
      </c>
      <c r="F118" s="18">
        <v>0.0</v>
      </c>
      <c r="G118" s="19">
        <v>0.0</v>
      </c>
      <c r="H118" s="6">
        <f>E118*PV_SESSION+F118*PV_CHALLENGE+G118*PV_WIN</f>
        <v>0</v>
      </c>
    </row>
    <row r="119" ht="15.75" customHeight="1">
      <c r="A119" s="7" t="s">
        <v>187</v>
      </c>
      <c r="B119" s="7" t="s">
        <v>188</v>
      </c>
      <c r="C119" s="7" t="s">
        <v>396</v>
      </c>
      <c r="D119" s="7" t="s">
        <v>281</v>
      </c>
      <c r="E119" s="18">
        <v>0.0</v>
      </c>
      <c r="F119" s="18">
        <v>0.0</v>
      </c>
      <c r="G119" s="19">
        <v>0.0</v>
      </c>
      <c r="H119" s="6">
        <f>E119*PV_SESSION+F119*PV_CHALLENGE+G119*PV_WIN</f>
        <v>0</v>
      </c>
    </row>
    <row r="120" ht="15.75" customHeight="1">
      <c r="A120" s="7" t="s">
        <v>189</v>
      </c>
      <c r="B120" s="7" t="s">
        <v>190</v>
      </c>
      <c r="C120" s="7" t="s">
        <v>397</v>
      </c>
      <c r="D120" s="7" t="s">
        <v>279</v>
      </c>
      <c r="E120" s="18">
        <v>0.0</v>
      </c>
      <c r="F120" s="19">
        <v>0.0</v>
      </c>
      <c r="G120" s="18">
        <v>0.0</v>
      </c>
      <c r="H120" s="6">
        <f>E120*PV_SESSION+F120*PV_CHALLENGE+G120*PV_WIN</f>
        <v>0</v>
      </c>
    </row>
    <row r="121" ht="15.75" customHeight="1">
      <c r="A121" s="7" t="s">
        <v>191</v>
      </c>
      <c r="B121" s="7" t="s">
        <v>192</v>
      </c>
      <c r="C121" s="7" t="s">
        <v>398</v>
      </c>
      <c r="D121" s="7" t="s">
        <v>279</v>
      </c>
      <c r="E121" s="19">
        <v>0.0</v>
      </c>
      <c r="F121" s="19">
        <v>0.0</v>
      </c>
      <c r="G121" s="19">
        <v>0.0</v>
      </c>
      <c r="H121" s="6">
        <f>E121*PV_SESSION+F121*PV_CHALLENGE+G121*PV_WIN</f>
        <v>0</v>
      </c>
    </row>
    <row r="122" ht="15.75" customHeight="1">
      <c r="A122" s="7" t="s">
        <v>193</v>
      </c>
      <c r="B122" s="7" t="s">
        <v>194</v>
      </c>
      <c r="C122" s="7" t="s">
        <v>399</v>
      </c>
      <c r="D122" s="7" t="s">
        <v>279</v>
      </c>
      <c r="E122" s="18">
        <v>0.0</v>
      </c>
      <c r="F122" s="18">
        <v>0.0</v>
      </c>
      <c r="G122" s="19">
        <v>0.0</v>
      </c>
      <c r="H122" s="6">
        <f>E122*PV_SESSION+F122*PV_CHALLENGE+G122*PV_WIN</f>
        <v>0</v>
      </c>
    </row>
    <row r="123" ht="15.75" customHeight="1">
      <c r="A123" s="7" t="s">
        <v>195</v>
      </c>
      <c r="B123" s="7" t="s">
        <v>196</v>
      </c>
      <c r="C123" s="7" t="s">
        <v>400</v>
      </c>
      <c r="D123" s="7" t="s">
        <v>279</v>
      </c>
      <c r="E123" s="18">
        <v>0.0</v>
      </c>
      <c r="F123" s="18">
        <v>0.0</v>
      </c>
      <c r="G123" s="18">
        <v>0.0</v>
      </c>
      <c r="H123" s="6">
        <f>E123*PV_SESSION+F123*PV_CHALLENGE+G123*PV_WIN</f>
        <v>0</v>
      </c>
    </row>
    <row r="124" ht="15.75" customHeight="1">
      <c r="A124" s="7" t="s">
        <v>197</v>
      </c>
      <c r="B124" s="7" t="s">
        <v>198</v>
      </c>
      <c r="C124" s="7" t="s">
        <v>401</v>
      </c>
      <c r="D124" s="7" t="s">
        <v>279</v>
      </c>
      <c r="E124" s="18">
        <v>0.0</v>
      </c>
      <c r="F124" s="18">
        <v>0.0</v>
      </c>
      <c r="G124" s="19">
        <v>0.0</v>
      </c>
      <c r="H124" s="6">
        <f>E124*PV_SESSION+F124*PV_CHALLENGE+G124*PV_WIN</f>
        <v>0</v>
      </c>
    </row>
    <row r="125" ht="15.75" customHeight="1">
      <c r="A125" s="7" t="s">
        <v>197</v>
      </c>
      <c r="B125" s="7" t="s">
        <v>198</v>
      </c>
      <c r="C125" s="7" t="s">
        <v>402</v>
      </c>
      <c r="D125" s="7" t="s">
        <v>281</v>
      </c>
      <c r="E125" s="18">
        <v>0.0</v>
      </c>
      <c r="F125" s="18">
        <v>0.0</v>
      </c>
      <c r="G125" s="19">
        <v>0.0</v>
      </c>
      <c r="H125" s="6">
        <f>E125*PV_SESSION+F125*PV_CHALLENGE+G125*PV_WIN</f>
        <v>0</v>
      </c>
    </row>
    <row r="126" ht="15.75" customHeight="1">
      <c r="A126" s="7" t="s">
        <v>199</v>
      </c>
      <c r="B126" s="7" t="s">
        <v>200</v>
      </c>
      <c r="C126" s="7" t="s">
        <v>403</v>
      </c>
      <c r="D126" s="7" t="s">
        <v>279</v>
      </c>
      <c r="E126" s="19">
        <v>0.0</v>
      </c>
      <c r="F126" s="19">
        <v>0.0</v>
      </c>
      <c r="G126" s="19">
        <v>0.0</v>
      </c>
      <c r="H126" s="6">
        <f>E126*PV_SESSION+F126*PV_CHALLENGE+G126*PV_WIN</f>
        <v>0</v>
      </c>
    </row>
    <row r="127" ht="15.75" customHeight="1">
      <c r="A127" s="7" t="s">
        <v>201</v>
      </c>
      <c r="B127" s="7" t="s">
        <v>202</v>
      </c>
      <c r="C127" s="7" t="s">
        <v>404</v>
      </c>
      <c r="D127" s="7" t="s">
        <v>279</v>
      </c>
      <c r="E127" s="18">
        <v>0.0</v>
      </c>
      <c r="F127" s="18">
        <v>0.0</v>
      </c>
      <c r="G127" s="19">
        <v>0.0</v>
      </c>
      <c r="H127" s="6">
        <f>E127*PV_SESSION+F127*PV_CHALLENGE+G127*PV_WIN</f>
        <v>0</v>
      </c>
    </row>
    <row r="128" ht="15.75" customHeight="1">
      <c r="A128" s="7" t="s">
        <v>203</v>
      </c>
      <c r="B128" s="7" t="s">
        <v>204</v>
      </c>
      <c r="C128" s="7" t="s">
        <v>405</v>
      </c>
      <c r="D128" s="7" t="s">
        <v>279</v>
      </c>
      <c r="E128" s="18">
        <v>0.0</v>
      </c>
      <c r="F128" s="18">
        <v>0.0</v>
      </c>
      <c r="G128" s="19">
        <v>0.0</v>
      </c>
      <c r="H128" s="6">
        <f>E128*PV_SESSION+F128*PV_CHALLENGE+G128*PV_WIN</f>
        <v>0</v>
      </c>
    </row>
    <row r="129" ht="15.75" customHeight="1">
      <c r="A129" s="7" t="s">
        <v>203</v>
      </c>
      <c r="B129" s="7" t="s">
        <v>204</v>
      </c>
      <c r="C129" s="7" t="s">
        <v>406</v>
      </c>
      <c r="D129" s="7" t="s">
        <v>281</v>
      </c>
      <c r="E129" s="18">
        <v>0.0</v>
      </c>
      <c r="F129" s="19">
        <v>0.0</v>
      </c>
      <c r="G129" s="19">
        <v>0.0</v>
      </c>
      <c r="H129" s="6">
        <f>E129*PV_SESSION+F129*PV_CHALLENGE+G129*PV_WIN</f>
        <v>0</v>
      </c>
    </row>
    <row r="130" ht="15.75" customHeight="1">
      <c r="A130" s="7" t="s">
        <v>205</v>
      </c>
      <c r="B130" s="7" t="s">
        <v>206</v>
      </c>
      <c r="C130" s="7" t="s">
        <v>407</v>
      </c>
      <c r="D130" s="7" t="s">
        <v>279</v>
      </c>
      <c r="E130" s="18">
        <v>0.0</v>
      </c>
      <c r="F130" s="19">
        <v>0.0</v>
      </c>
      <c r="G130" s="19">
        <v>0.0</v>
      </c>
      <c r="H130" s="6">
        <f>E130*PV_SESSION+F130*PV_CHALLENGE+G130*PV_WIN</f>
        <v>0</v>
      </c>
    </row>
    <row r="131" ht="15.75" customHeight="1">
      <c r="A131" s="7" t="s">
        <v>207</v>
      </c>
      <c r="B131" s="7" t="s">
        <v>208</v>
      </c>
      <c r="C131" s="7" t="s">
        <v>408</v>
      </c>
      <c r="D131" s="7" t="s">
        <v>279</v>
      </c>
      <c r="E131" s="19">
        <v>0.0</v>
      </c>
      <c r="F131" s="18">
        <v>0.0</v>
      </c>
      <c r="G131" s="19">
        <v>0.0</v>
      </c>
      <c r="H131" s="6">
        <f>E131*PV_SESSION+F131*PV_CHALLENGE+G131*PV_WIN</f>
        <v>0</v>
      </c>
    </row>
    <row r="132" ht="15.75" customHeight="1">
      <c r="A132" s="7" t="s">
        <v>207</v>
      </c>
      <c r="B132" s="7" t="s">
        <v>208</v>
      </c>
      <c r="C132" s="7" t="s">
        <v>409</v>
      </c>
      <c r="D132" s="7" t="s">
        <v>281</v>
      </c>
      <c r="E132" s="18">
        <v>0.0</v>
      </c>
      <c r="F132" s="18">
        <v>0.0</v>
      </c>
      <c r="G132" s="19">
        <v>0.0</v>
      </c>
      <c r="H132" s="6">
        <f>E132*PV_SESSION+F132*PV_CHALLENGE+G132*PV_WIN</f>
        <v>0</v>
      </c>
    </row>
    <row r="133" ht="15.75" customHeight="1">
      <c r="A133" s="7" t="s">
        <v>207</v>
      </c>
      <c r="B133" s="7" t="s">
        <v>208</v>
      </c>
      <c r="C133" s="7" t="s">
        <v>410</v>
      </c>
      <c r="D133" s="7" t="s">
        <v>281</v>
      </c>
      <c r="E133" s="18">
        <v>0.0</v>
      </c>
      <c r="F133" s="18">
        <v>0.0</v>
      </c>
      <c r="G133" s="19">
        <v>0.0</v>
      </c>
      <c r="H133" s="6">
        <f>E133*PV_SESSION+F133*PV_CHALLENGE+G133*PV_WIN</f>
        <v>0</v>
      </c>
    </row>
    <row r="134" ht="15.75" customHeight="1">
      <c r="A134" s="7" t="s">
        <v>209</v>
      </c>
      <c r="B134" s="7" t="s">
        <v>210</v>
      </c>
      <c r="C134" s="7" t="s">
        <v>411</v>
      </c>
      <c r="D134" s="7" t="s">
        <v>279</v>
      </c>
      <c r="E134" s="18">
        <v>0.0</v>
      </c>
      <c r="F134" s="18">
        <v>0.0</v>
      </c>
      <c r="G134" s="18">
        <v>0.0</v>
      </c>
      <c r="H134" s="6">
        <f>E134*PV_SESSION+F134*PV_CHALLENGE+G134*PV_WIN</f>
        <v>0</v>
      </c>
    </row>
    <row r="135" ht="15.75" customHeight="1">
      <c r="A135" s="7" t="s">
        <v>209</v>
      </c>
      <c r="B135" s="7" t="s">
        <v>210</v>
      </c>
      <c r="C135" s="7" t="s">
        <v>412</v>
      </c>
      <c r="D135" s="7" t="s">
        <v>281</v>
      </c>
      <c r="E135" s="18">
        <v>0.0</v>
      </c>
      <c r="F135" s="18">
        <v>0.0</v>
      </c>
      <c r="G135" s="19">
        <v>0.0</v>
      </c>
      <c r="H135" s="6">
        <f>E135*PV_SESSION+F135*PV_CHALLENGE+G135*PV_WIN</f>
        <v>0</v>
      </c>
    </row>
    <row r="136" ht="15.75" customHeight="1">
      <c r="A136" s="7" t="s">
        <v>209</v>
      </c>
      <c r="B136" s="7" t="s">
        <v>210</v>
      </c>
      <c r="C136" s="7" t="s">
        <v>413</v>
      </c>
      <c r="D136" s="7" t="s">
        <v>281</v>
      </c>
      <c r="E136" s="19">
        <v>0.0</v>
      </c>
      <c r="F136" s="18">
        <v>0.0</v>
      </c>
      <c r="G136" s="18">
        <v>0.0</v>
      </c>
      <c r="H136" s="6">
        <f>E136*PV_SESSION+F136*PV_CHALLENGE+G136*PV_WIN</f>
        <v>0</v>
      </c>
    </row>
    <row r="137" ht="15.75" customHeight="1">
      <c r="A137" s="7" t="s">
        <v>211</v>
      </c>
      <c r="B137" s="7" t="s">
        <v>212</v>
      </c>
      <c r="C137" s="7" t="s">
        <v>414</v>
      </c>
      <c r="D137" s="7" t="s">
        <v>279</v>
      </c>
      <c r="E137" s="18">
        <v>0.0</v>
      </c>
      <c r="F137" s="18">
        <v>0.0</v>
      </c>
      <c r="G137" s="18">
        <v>0.0</v>
      </c>
      <c r="H137" s="6">
        <f>E137*PV_SESSION+F137*PV_CHALLENGE+G137*PV_WIN</f>
        <v>0</v>
      </c>
    </row>
    <row r="138" ht="15.75" customHeight="1">
      <c r="A138" s="7" t="s">
        <v>213</v>
      </c>
      <c r="B138" s="7" t="s">
        <v>214</v>
      </c>
      <c r="C138" s="7" t="s">
        <v>415</v>
      </c>
      <c r="D138" s="7" t="s">
        <v>279</v>
      </c>
      <c r="E138" s="18">
        <v>0.0</v>
      </c>
      <c r="F138" s="18">
        <v>0.0</v>
      </c>
      <c r="G138" s="18">
        <v>0.0</v>
      </c>
      <c r="H138" s="6">
        <f>E138*PV_SESSION+F138*PV_CHALLENGE+G138*PV_WIN</f>
        <v>0</v>
      </c>
    </row>
    <row r="139" ht="15.75" customHeight="1">
      <c r="A139" s="7" t="s">
        <v>213</v>
      </c>
      <c r="B139" s="7" t="s">
        <v>214</v>
      </c>
      <c r="C139" s="7" t="s">
        <v>416</v>
      </c>
      <c r="D139" s="7" t="s">
        <v>281</v>
      </c>
      <c r="E139" s="18">
        <v>0.0</v>
      </c>
      <c r="F139" s="19">
        <v>0.0</v>
      </c>
      <c r="G139" s="18">
        <v>0.0</v>
      </c>
      <c r="H139" s="6">
        <f>E139*PV_SESSION+F139*PV_CHALLENGE+G139*PV_WIN</f>
        <v>0</v>
      </c>
    </row>
    <row r="140" ht="15.75" customHeight="1">
      <c r="A140" s="7" t="s">
        <v>215</v>
      </c>
      <c r="B140" s="7" t="s">
        <v>216</v>
      </c>
      <c r="C140" s="7" t="s">
        <v>417</v>
      </c>
      <c r="D140" s="7" t="s">
        <v>279</v>
      </c>
      <c r="E140" s="18">
        <v>0.0</v>
      </c>
      <c r="F140" s="18">
        <v>0.0</v>
      </c>
      <c r="G140" s="19">
        <v>0.0</v>
      </c>
      <c r="H140" s="6">
        <f>E140*PV_SESSION+F140*PV_CHALLENGE+G140*PV_WIN</f>
        <v>0</v>
      </c>
    </row>
    <row r="141" ht="15.75" customHeight="1">
      <c r="A141" s="7" t="s">
        <v>215</v>
      </c>
      <c r="B141" s="7" t="s">
        <v>216</v>
      </c>
      <c r="C141" s="7" t="s">
        <v>417</v>
      </c>
      <c r="D141" s="7" t="s">
        <v>281</v>
      </c>
      <c r="E141" s="18">
        <v>0.0</v>
      </c>
      <c r="F141" s="18">
        <v>0.0</v>
      </c>
      <c r="G141" s="19">
        <v>0.0</v>
      </c>
      <c r="H141" s="6">
        <f>E141*PV_SESSION+F141*PV_CHALLENGE+G141*PV_WIN</f>
        <v>0</v>
      </c>
    </row>
    <row r="142" ht="15.75" customHeight="1">
      <c r="A142" s="7" t="s">
        <v>217</v>
      </c>
      <c r="B142" s="7" t="s">
        <v>218</v>
      </c>
      <c r="C142" s="7" t="s">
        <v>418</v>
      </c>
      <c r="D142" s="7" t="s">
        <v>279</v>
      </c>
      <c r="E142" s="18">
        <v>0.0</v>
      </c>
      <c r="F142" s="19">
        <v>0.0</v>
      </c>
      <c r="G142" s="19">
        <v>0.0</v>
      </c>
      <c r="H142" s="6">
        <f>E142*PV_SESSION+F142*PV_CHALLENGE+G142*PV_WIN</f>
        <v>0</v>
      </c>
    </row>
    <row r="143" ht="15.75" customHeight="1">
      <c r="A143" s="7" t="s">
        <v>217</v>
      </c>
      <c r="B143" s="7" t="s">
        <v>218</v>
      </c>
      <c r="C143" s="7" t="s">
        <v>419</v>
      </c>
      <c r="D143" s="7" t="s">
        <v>281</v>
      </c>
      <c r="E143" s="18">
        <v>0.0</v>
      </c>
      <c r="F143" s="19">
        <v>0.0</v>
      </c>
      <c r="G143" s="19">
        <v>0.0</v>
      </c>
      <c r="H143" s="6">
        <f>E143*PV_SESSION+F143*PV_CHALLENGE+G143*PV_WIN</f>
        <v>0</v>
      </c>
    </row>
    <row r="144" ht="15.75" customHeight="1">
      <c r="A144" s="7" t="s">
        <v>217</v>
      </c>
      <c r="B144" s="7" t="s">
        <v>218</v>
      </c>
      <c r="C144" s="7" t="s">
        <v>420</v>
      </c>
      <c r="D144" s="7" t="s">
        <v>281</v>
      </c>
      <c r="E144" s="18">
        <v>0.0</v>
      </c>
      <c r="F144" s="19">
        <v>0.0</v>
      </c>
      <c r="G144" s="19">
        <v>0.0</v>
      </c>
      <c r="H144" s="6">
        <f>E144*PV_SESSION+F144*PV_CHALLENGE+G144*PV_WIN</f>
        <v>0</v>
      </c>
    </row>
    <row r="145" ht="15.75" customHeight="1">
      <c r="A145" s="7" t="s">
        <v>217</v>
      </c>
      <c r="B145" s="7" t="s">
        <v>218</v>
      </c>
      <c r="C145" s="7" t="s">
        <v>421</v>
      </c>
      <c r="D145" s="7" t="s">
        <v>281</v>
      </c>
      <c r="E145" s="18">
        <v>0.0</v>
      </c>
      <c r="F145" s="18">
        <v>0.0</v>
      </c>
      <c r="G145" s="19">
        <v>0.0</v>
      </c>
      <c r="H145" s="6">
        <f>E145*PV_SESSION+F145*PV_CHALLENGE+G145*PV_WIN</f>
        <v>0</v>
      </c>
    </row>
    <row r="146" ht="15.75" customHeight="1">
      <c r="A146" s="7" t="s">
        <v>219</v>
      </c>
      <c r="B146" s="7" t="s">
        <v>220</v>
      </c>
      <c r="C146" s="7" t="s">
        <v>422</v>
      </c>
      <c r="D146" s="7" t="s">
        <v>279</v>
      </c>
      <c r="E146" s="18">
        <v>0.0</v>
      </c>
      <c r="F146" s="19">
        <v>0.0</v>
      </c>
      <c r="G146" s="19">
        <v>0.0</v>
      </c>
      <c r="H146" s="6">
        <f>E146*PV_SESSION+F146*PV_CHALLENGE+G146*PV_WIN</f>
        <v>0</v>
      </c>
    </row>
    <row r="147" ht="15.75" customHeight="1">
      <c r="A147" s="7" t="s">
        <v>219</v>
      </c>
      <c r="B147" s="7" t="s">
        <v>220</v>
      </c>
      <c r="C147" s="7" t="s">
        <v>423</v>
      </c>
      <c r="D147" s="7" t="s">
        <v>281</v>
      </c>
      <c r="E147" s="18">
        <v>0.0</v>
      </c>
      <c r="F147" s="18">
        <v>0.0</v>
      </c>
      <c r="G147" s="18">
        <v>0.0</v>
      </c>
      <c r="H147" s="6">
        <f>E147*PV_SESSION+F147*PV_CHALLENGE+G147*PV_WIN</f>
        <v>0</v>
      </c>
    </row>
    <row r="148" ht="15.75" customHeight="1">
      <c r="A148" s="7" t="s">
        <v>219</v>
      </c>
      <c r="B148" s="7" t="s">
        <v>220</v>
      </c>
      <c r="C148" s="7" t="s">
        <v>424</v>
      </c>
      <c r="D148" s="7" t="s">
        <v>281</v>
      </c>
      <c r="E148" s="18">
        <v>0.0</v>
      </c>
      <c r="F148" s="19">
        <v>0.0</v>
      </c>
      <c r="G148" s="19">
        <v>0.0</v>
      </c>
      <c r="H148" s="6">
        <f>E148*PV_SESSION+F148*PV_CHALLENGE+G148*PV_WIN</f>
        <v>0</v>
      </c>
    </row>
    <row r="149" ht="15.75" customHeight="1">
      <c r="A149" s="7" t="s">
        <v>219</v>
      </c>
      <c r="B149" s="7" t="s">
        <v>220</v>
      </c>
      <c r="C149" s="7" t="s">
        <v>425</v>
      </c>
      <c r="D149" s="7" t="s">
        <v>281</v>
      </c>
      <c r="E149" s="18">
        <v>0.0</v>
      </c>
      <c r="F149" s="19">
        <v>0.0</v>
      </c>
      <c r="G149" s="19">
        <v>0.0</v>
      </c>
      <c r="H149" s="6">
        <f>E149*PV_SESSION+F149*PV_CHALLENGE+G149*PV_WIN</f>
        <v>0</v>
      </c>
    </row>
    <row r="150" ht="15.75" customHeight="1">
      <c r="A150" s="7" t="s">
        <v>221</v>
      </c>
      <c r="B150" s="7" t="s">
        <v>222</v>
      </c>
      <c r="C150" s="7" t="s">
        <v>426</v>
      </c>
      <c r="D150" s="7" t="s">
        <v>279</v>
      </c>
      <c r="E150" s="18">
        <v>0.0</v>
      </c>
      <c r="F150" s="19">
        <v>0.0</v>
      </c>
      <c r="G150" s="19">
        <v>0.0</v>
      </c>
      <c r="H150" s="6">
        <f>E150*PV_SESSION+F150*PV_CHALLENGE+G150*PV_WIN</f>
        <v>0</v>
      </c>
    </row>
    <row r="151" ht="15.75" customHeight="1">
      <c r="A151" s="7" t="s">
        <v>221</v>
      </c>
      <c r="B151" s="7" t="s">
        <v>222</v>
      </c>
      <c r="C151" s="7" t="s">
        <v>427</v>
      </c>
      <c r="D151" s="7" t="s">
        <v>281</v>
      </c>
      <c r="E151" s="18">
        <v>0.0</v>
      </c>
      <c r="F151" s="19">
        <v>0.0</v>
      </c>
      <c r="G151" s="19">
        <v>0.0</v>
      </c>
      <c r="H151" s="6">
        <f>E151*PV_SESSION+F151*PV_CHALLENGE+G151*PV_WIN</f>
        <v>0</v>
      </c>
    </row>
    <row r="152" ht="15.75" customHeight="1">
      <c r="A152" s="7" t="s">
        <v>221</v>
      </c>
      <c r="B152" s="7" t="s">
        <v>222</v>
      </c>
      <c r="C152" s="7" t="s">
        <v>428</v>
      </c>
      <c r="D152" s="7" t="s">
        <v>281</v>
      </c>
      <c r="E152" s="18">
        <v>0.0</v>
      </c>
      <c r="F152" s="19">
        <v>0.0</v>
      </c>
      <c r="G152" s="19">
        <v>0.0</v>
      </c>
      <c r="H152" s="6">
        <f>E152*PV_SESSION+F152*PV_CHALLENGE+G152*PV_WIN</f>
        <v>0</v>
      </c>
    </row>
    <row r="153" ht="15.75" customHeight="1">
      <c r="A153" s="7" t="s">
        <v>223</v>
      </c>
      <c r="B153" s="7" t="s">
        <v>224</v>
      </c>
      <c r="C153" s="7" t="s">
        <v>429</v>
      </c>
      <c r="D153" s="7" t="s">
        <v>279</v>
      </c>
      <c r="E153" s="18">
        <v>0.0</v>
      </c>
      <c r="F153" s="18">
        <v>0.0</v>
      </c>
      <c r="G153" s="19">
        <v>0.0</v>
      </c>
      <c r="H153" s="6">
        <f>E153*PV_SESSION+F153*PV_CHALLENGE+G153*PV_WIN</f>
        <v>0</v>
      </c>
    </row>
    <row r="154" ht="15.75" customHeight="1">
      <c r="A154" s="7" t="s">
        <v>223</v>
      </c>
      <c r="B154" s="7" t="s">
        <v>224</v>
      </c>
      <c r="C154" s="7" t="s">
        <v>430</v>
      </c>
      <c r="D154" s="7" t="s">
        <v>281</v>
      </c>
      <c r="E154" s="18">
        <v>0.0</v>
      </c>
      <c r="F154" s="19">
        <v>0.0</v>
      </c>
      <c r="G154" s="19">
        <v>0.0</v>
      </c>
      <c r="H154" s="6">
        <f>E154*PV_SESSION+F154*PV_CHALLENGE+G154*PV_WIN</f>
        <v>0</v>
      </c>
    </row>
    <row r="155" ht="15.75" customHeight="1">
      <c r="A155" s="7" t="s">
        <v>223</v>
      </c>
      <c r="B155" s="7" t="s">
        <v>224</v>
      </c>
      <c r="C155" s="7" t="s">
        <v>431</v>
      </c>
      <c r="D155" s="7" t="s">
        <v>281</v>
      </c>
      <c r="E155" s="18">
        <v>0.0</v>
      </c>
      <c r="F155" s="18">
        <v>0.0</v>
      </c>
      <c r="G155" s="19">
        <v>0.0</v>
      </c>
      <c r="H155" s="6">
        <f>E155*PV_SESSION+F155*PV_CHALLENGE+G155*PV_WIN</f>
        <v>0</v>
      </c>
    </row>
    <row r="156" ht="15.75" customHeight="1">
      <c r="A156" s="7" t="s">
        <v>223</v>
      </c>
      <c r="B156" s="7" t="s">
        <v>224</v>
      </c>
      <c r="C156" s="7" t="s">
        <v>432</v>
      </c>
      <c r="D156" s="7" t="s">
        <v>281</v>
      </c>
      <c r="E156" s="18">
        <v>0.0</v>
      </c>
      <c r="F156" s="18">
        <v>0.0</v>
      </c>
      <c r="G156" s="18">
        <v>0.0</v>
      </c>
      <c r="H156" s="6">
        <f>E156*PV_SESSION+F156*PV_CHALLENGE+G156*PV_WIN</f>
        <v>0</v>
      </c>
    </row>
    <row r="157" ht="15.75" customHeight="1">
      <c r="A157" s="7" t="s">
        <v>225</v>
      </c>
      <c r="B157" s="7" t="s">
        <v>226</v>
      </c>
      <c r="C157" s="7" t="s">
        <v>433</v>
      </c>
      <c r="D157" s="7" t="s">
        <v>279</v>
      </c>
      <c r="E157" s="18">
        <v>0.0</v>
      </c>
      <c r="F157" s="18">
        <v>0.0</v>
      </c>
      <c r="G157" s="18">
        <v>0.0</v>
      </c>
      <c r="H157" s="6">
        <f>E157*PV_SESSION+F157*PV_CHALLENGE+G157*PV_WIN</f>
        <v>0</v>
      </c>
    </row>
    <row r="158" ht="15.75" customHeight="1">
      <c r="A158" s="7" t="s">
        <v>225</v>
      </c>
      <c r="B158" s="7" t="s">
        <v>226</v>
      </c>
      <c r="C158" s="7" t="s">
        <v>434</v>
      </c>
      <c r="D158" s="7" t="s">
        <v>281</v>
      </c>
      <c r="E158" s="18">
        <v>0.0</v>
      </c>
      <c r="F158" s="19">
        <v>0.0</v>
      </c>
      <c r="G158" s="19">
        <v>0.0</v>
      </c>
      <c r="H158" s="6">
        <f>E158*PV_SESSION+F158*PV_CHALLENGE+G158*PV_WIN</f>
        <v>0</v>
      </c>
    </row>
    <row r="159" ht="15.75" customHeight="1">
      <c r="A159" s="7" t="s">
        <v>227</v>
      </c>
      <c r="B159" s="7" t="s">
        <v>228</v>
      </c>
      <c r="C159" s="7" t="s">
        <v>435</v>
      </c>
      <c r="D159" s="7" t="s">
        <v>279</v>
      </c>
      <c r="E159" s="18">
        <v>0.0</v>
      </c>
      <c r="F159" s="18">
        <v>0.0</v>
      </c>
      <c r="G159" s="18">
        <v>0.0</v>
      </c>
      <c r="H159" s="6">
        <f>E159*PV_SESSION+F159*PV_CHALLENGE+G159*PV_WIN</f>
        <v>0</v>
      </c>
    </row>
    <row r="160" ht="15.75" customHeight="1">
      <c r="A160" s="7" t="s">
        <v>227</v>
      </c>
      <c r="B160" s="7" t="s">
        <v>228</v>
      </c>
      <c r="C160" s="7" t="s">
        <v>436</v>
      </c>
      <c r="D160" s="7" t="s">
        <v>281</v>
      </c>
      <c r="E160" s="18">
        <v>0.0</v>
      </c>
      <c r="F160" s="19">
        <v>0.0</v>
      </c>
      <c r="G160" s="19">
        <v>0.0</v>
      </c>
      <c r="H160" s="6">
        <f>E160*PV_SESSION+F160*PV_CHALLENGE+G160*PV_WIN</f>
        <v>0</v>
      </c>
    </row>
    <row r="161" ht="15.75" customHeight="1">
      <c r="A161" s="7" t="s">
        <v>229</v>
      </c>
      <c r="B161" s="7" t="s">
        <v>230</v>
      </c>
      <c r="C161" s="7" t="s">
        <v>437</v>
      </c>
      <c r="D161" s="7" t="s">
        <v>279</v>
      </c>
      <c r="E161" s="18">
        <v>0.0</v>
      </c>
      <c r="F161" s="18">
        <v>0.0</v>
      </c>
      <c r="G161" s="19">
        <v>0.0</v>
      </c>
      <c r="H161" s="6">
        <f>E161*PV_SESSION+F161*PV_CHALLENGE+G161*PV_WIN</f>
        <v>0</v>
      </c>
    </row>
    <row r="162" ht="15.75" customHeight="1">
      <c r="A162" s="7" t="s">
        <v>229</v>
      </c>
      <c r="B162" s="7" t="s">
        <v>230</v>
      </c>
      <c r="C162" s="7" t="s">
        <v>438</v>
      </c>
      <c r="D162" s="7" t="s">
        <v>281</v>
      </c>
      <c r="E162" s="18">
        <v>0.0</v>
      </c>
      <c r="F162" s="19">
        <v>0.0</v>
      </c>
      <c r="G162" s="19">
        <v>0.0</v>
      </c>
      <c r="H162" s="6">
        <f>E162*PV_SESSION+F162*PV_CHALLENGE+G162*PV_WIN</f>
        <v>0</v>
      </c>
    </row>
    <row r="163" ht="15.75" customHeight="1">
      <c r="A163" s="7" t="s">
        <v>229</v>
      </c>
      <c r="B163" s="7" t="s">
        <v>230</v>
      </c>
      <c r="C163" s="7" t="s">
        <v>439</v>
      </c>
      <c r="D163" s="7" t="s">
        <v>281</v>
      </c>
      <c r="E163" s="18">
        <v>0.0</v>
      </c>
      <c r="F163" s="18">
        <v>0.0</v>
      </c>
      <c r="G163" s="19">
        <v>0.0</v>
      </c>
      <c r="H163" s="6">
        <f>E163*PV_SESSION+F163*PV_CHALLENGE+G163*PV_WIN</f>
        <v>0</v>
      </c>
    </row>
    <row r="164" ht="15.75" customHeight="1">
      <c r="A164" s="7" t="s">
        <v>229</v>
      </c>
      <c r="B164" s="7" t="s">
        <v>230</v>
      </c>
      <c r="C164" s="7" t="s">
        <v>440</v>
      </c>
      <c r="D164" s="7" t="s">
        <v>281</v>
      </c>
      <c r="E164" s="19">
        <v>0.0</v>
      </c>
      <c r="F164" s="18">
        <v>0.0</v>
      </c>
      <c r="G164" s="19">
        <v>0.0</v>
      </c>
      <c r="H164" s="6">
        <f>E164*PV_SESSION+F164*PV_CHALLENGE+G164*PV_WIN</f>
        <v>0</v>
      </c>
    </row>
    <row r="165" ht="15.75" customHeight="1">
      <c r="A165" s="7" t="s">
        <v>231</v>
      </c>
      <c r="B165" s="7" t="s">
        <v>232</v>
      </c>
      <c r="C165" s="7" t="s">
        <v>441</v>
      </c>
      <c r="D165" s="7" t="s">
        <v>279</v>
      </c>
      <c r="E165" s="18">
        <v>0.0</v>
      </c>
      <c r="F165" s="19">
        <v>0.0</v>
      </c>
      <c r="G165" s="18">
        <v>0.0</v>
      </c>
      <c r="H165" s="6">
        <f>E165*PV_SESSION+F165*PV_CHALLENGE+G165*PV_WIN</f>
        <v>0</v>
      </c>
    </row>
    <row r="166" ht="15.75" customHeight="1">
      <c r="A166" s="7" t="s">
        <v>231</v>
      </c>
      <c r="B166" s="7" t="s">
        <v>232</v>
      </c>
      <c r="C166" s="7" t="s">
        <v>442</v>
      </c>
      <c r="D166" s="7" t="s">
        <v>281</v>
      </c>
      <c r="E166" s="18">
        <v>0.0</v>
      </c>
      <c r="F166" s="18">
        <v>0.0</v>
      </c>
      <c r="G166" s="19">
        <v>0.0</v>
      </c>
      <c r="H166" s="6">
        <f>E166*PV_SESSION+F166*PV_CHALLENGE+G166*PV_WIN</f>
        <v>0</v>
      </c>
    </row>
    <row r="167" ht="15.75" customHeight="1">
      <c r="A167" s="7" t="s">
        <v>233</v>
      </c>
      <c r="B167" s="7" t="s">
        <v>234</v>
      </c>
      <c r="C167" s="7" t="s">
        <v>443</v>
      </c>
      <c r="D167" s="7" t="s">
        <v>279</v>
      </c>
      <c r="E167" s="18">
        <v>0.0</v>
      </c>
      <c r="F167" s="19">
        <v>0.0</v>
      </c>
      <c r="G167" s="19">
        <v>0.0</v>
      </c>
      <c r="H167" s="6">
        <f>E167*PV_SESSION+F167*PV_CHALLENGE+G167*PV_WIN</f>
        <v>0</v>
      </c>
    </row>
    <row r="168" ht="15.75" customHeight="1">
      <c r="A168" s="7" t="s">
        <v>233</v>
      </c>
      <c r="B168" s="7" t="s">
        <v>234</v>
      </c>
      <c r="C168" s="7" t="s">
        <v>444</v>
      </c>
      <c r="D168" s="7" t="s">
        <v>281</v>
      </c>
      <c r="E168" s="18">
        <v>0.0</v>
      </c>
      <c r="F168" s="19">
        <v>0.0</v>
      </c>
      <c r="G168" s="19">
        <v>0.0</v>
      </c>
      <c r="H168" s="6">
        <f>E168*PV_SESSION+F168*PV_CHALLENGE+G168*PV_WIN</f>
        <v>0</v>
      </c>
    </row>
    <row r="169" ht="15.75" customHeight="1">
      <c r="A169" s="7" t="s">
        <v>235</v>
      </c>
      <c r="B169" s="7" t="s">
        <v>236</v>
      </c>
      <c r="C169" s="7" t="s">
        <v>445</v>
      </c>
      <c r="D169" s="7" t="s">
        <v>279</v>
      </c>
      <c r="E169" s="18">
        <v>0.0</v>
      </c>
      <c r="F169" s="18">
        <v>0.0</v>
      </c>
      <c r="G169" s="19">
        <v>0.0</v>
      </c>
      <c r="H169" s="6">
        <f>E169*PV_SESSION+F169*PV_CHALLENGE+G169*PV_WIN</f>
        <v>0</v>
      </c>
    </row>
    <row r="170" ht="15.75" customHeight="1">
      <c r="A170" s="7" t="s">
        <v>235</v>
      </c>
      <c r="B170" s="7" t="s">
        <v>236</v>
      </c>
      <c r="C170" s="7" t="s">
        <v>446</v>
      </c>
      <c r="D170" s="7" t="s">
        <v>281</v>
      </c>
      <c r="E170" s="18">
        <v>0.0</v>
      </c>
      <c r="F170" s="18">
        <v>0.0</v>
      </c>
      <c r="G170" s="19">
        <v>0.0</v>
      </c>
      <c r="H170" s="6">
        <f>E170*PV_SESSION+F170*PV_CHALLENGE+G170*PV_WIN</f>
        <v>0</v>
      </c>
    </row>
    <row r="171" ht="15.75" customHeight="1">
      <c r="A171" s="7" t="s">
        <v>237</v>
      </c>
      <c r="B171" s="7" t="s">
        <v>238</v>
      </c>
      <c r="C171" s="7" t="s">
        <v>447</v>
      </c>
      <c r="D171" s="7" t="s">
        <v>279</v>
      </c>
      <c r="E171" s="18">
        <v>0.0</v>
      </c>
      <c r="F171" s="19">
        <v>0.0</v>
      </c>
      <c r="G171" s="19">
        <v>0.0</v>
      </c>
      <c r="H171" s="6">
        <f>E171*PV_SESSION+F171*PV_CHALLENGE+G171*PV_WIN</f>
        <v>0</v>
      </c>
    </row>
    <row r="172" ht="15.75" customHeight="1">
      <c r="A172" s="7" t="s">
        <v>237</v>
      </c>
      <c r="B172" s="7" t="s">
        <v>238</v>
      </c>
      <c r="C172" s="7" t="s">
        <v>448</v>
      </c>
      <c r="D172" s="7" t="s">
        <v>281</v>
      </c>
      <c r="E172" s="18">
        <v>0.0</v>
      </c>
      <c r="F172" s="19">
        <v>0.0</v>
      </c>
      <c r="G172" s="19">
        <v>0.0</v>
      </c>
      <c r="H172" s="6">
        <f>E172*PV_SESSION+F172*PV_CHALLENGE+G172*PV_WIN</f>
        <v>0</v>
      </c>
    </row>
    <row r="173" ht="15.75" customHeight="1">
      <c r="A173" s="7" t="s">
        <v>239</v>
      </c>
      <c r="B173" s="7" t="s">
        <v>240</v>
      </c>
      <c r="C173" s="7" t="s">
        <v>449</v>
      </c>
      <c r="D173" s="7" t="s">
        <v>279</v>
      </c>
      <c r="E173" s="18">
        <v>0.0</v>
      </c>
      <c r="F173" s="18">
        <v>0.0</v>
      </c>
      <c r="G173" s="19">
        <v>0.0</v>
      </c>
      <c r="H173" s="6">
        <f>E173*PV_SESSION+F173*PV_CHALLENGE+G173*PV_WIN</f>
        <v>0</v>
      </c>
    </row>
    <row r="174" ht="15.75" customHeight="1">
      <c r="A174" s="7" t="s">
        <v>239</v>
      </c>
      <c r="B174" s="7" t="s">
        <v>240</v>
      </c>
      <c r="C174" s="7" t="s">
        <v>450</v>
      </c>
      <c r="D174" s="7" t="s">
        <v>281</v>
      </c>
      <c r="E174" s="18">
        <v>0.0</v>
      </c>
      <c r="F174" s="19">
        <v>0.0</v>
      </c>
      <c r="G174" s="19">
        <v>0.0</v>
      </c>
      <c r="H174" s="6">
        <f>E174*PV_SESSION+F174*PV_CHALLENGE+G174*PV_WIN</f>
        <v>0</v>
      </c>
    </row>
    <row r="175" ht="15.75" customHeight="1">
      <c r="A175" s="7" t="s">
        <v>241</v>
      </c>
      <c r="B175" s="7" t="s">
        <v>242</v>
      </c>
      <c r="C175" s="7" t="s">
        <v>301</v>
      </c>
      <c r="D175" s="7" t="s">
        <v>279</v>
      </c>
      <c r="E175" s="18">
        <v>0.0</v>
      </c>
      <c r="F175" s="18">
        <v>0.0</v>
      </c>
      <c r="G175" s="18">
        <v>0.0</v>
      </c>
      <c r="H175" s="6">
        <f>E175*PV_SESSION+F175*PV_CHALLENGE+G175*PV_WIN</f>
        <v>0</v>
      </c>
    </row>
    <row r="176" ht="15.75" customHeight="1">
      <c r="A176" s="7" t="s">
        <v>241</v>
      </c>
      <c r="B176" s="7" t="s">
        <v>242</v>
      </c>
      <c r="C176" s="7" t="s">
        <v>451</v>
      </c>
      <c r="D176" s="7" t="s">
        <v>281</v>
      </c>
      <c r="E176" s="18">
        <v>0.0</v>
      </c>
      <c r="F176" s="18">
        <v>0.0</v>
      </c>
      <c r="G176" s="19">
        <v>0.0</v>
      </c>
      <c r="H176" s="6">
        <f>E176*PV_SESSION+F176*PV_CHALLENGE+G176*PV_WIN</f>
        <v>0</v>
      </c>
    </row>
    <row r="177" ht="15.75" customHeight="1">
      <c r="A177" s="7" t="s">
        <v>243</v>
      </c>
      <c r="B177" s="7" t="s">
        <v>244</v>
      </c>
      <c r="C177" s="7" t="s">
        <v>452</v>
      </c>
      <c r="D177" s="7" t="s">
        <v>279</v>
      </c>
      <c r="E177" s="18">
        <v>0.0</v>
      </c>
      <c r="F177" s="19">
        <v>0.0</v>
      </c>
      <c r="G177" s="18">
        <v>0.0</v>
      </c>
      <c r="H177" s="6">
        <f>E177*PV_SESSION+F177*PV_CHALLENGE+G177*PV_WIN</f>
        <v>0</v>
      </c>
    </row>
    <row r="178" ht="15.75" customHeight="1">
      <c r="A178" s="7" t="s">
        <v>243</v>
      </c>
      <c r="B178" s="7" t="s">
        <v>244</v>
      </c>
      <c r="C178" s="7" t="s">
        <v>453</v>
      </c>
      <c r="D178" s="7" t="s">
        <v>281</v>
      </c>
      <c r="E178" s="18">
        <v>0.0</v>
      </c>
      <c r="F178" s="18">
        <v>0.0</v>
      </c>
      <c r="G178" s="19">
        <v>0.0</v>
      </c>
      <c r="H178" s="6">
        <f>E178*PV_SESSION+F178*PV_CHALLENGE+G178*PV_WIN</f>
        <v>0</v>
      </c>
    </row>
    <row r="179" ht="15.75" customHeight="1">
      <c r="A179" s="7" t="s">
        <v>245</v>
      </c>
      <c r="B179" s="7" t="s">
        <v>246</v>
      </c>
      <c r="C179" s="7" t="s">
        <v>294</v>
      </c>
      <c r="D179" s="7" t="s">
        <v>279</v>
      </c>
      <c r="E179" s="18">
        <v>0.0</v>
      </c>
      <c r="F179" s="18">
        <v>0.0</v>
      </c>
      <c r="G179" s="19">
        <v>0.0</v>
      </c>
      <c r="H179" s="6">
        <f>E179*PV_SESSION+F179*PV_CHALLENGE+G179*PV_WIN</f>
        <v>0</v>
      </c>
    </row>
    <row r="180" ht="15.75" customHeight="1">
      <c r="A180" s="7" t="s">
        <v>245</v>
      </c>
      <c r="B180" s="7" t="s">
        <v>246</v>
      </c>
      <c r="C180" s="7" t="s">
        <v>454</v>
      </c>
      <c r="D180" s="7" t="s">
        <v>281</v>
      </c>
      <c r="E180" s="18">
        <v>0.0</v>
      </c>
      <c r="F180" s="18">
        <v>0.0</v>
      </c>
      <c r="G180" s="18">
        <v>0.0</v>
      </c>
      <c r="H180" s="6">
        <f>E180*PV_SESSION+F180*PV_CHALLENGE+G180*PV_WIN</f>
        <v>0</v>
      </c>
    </row>
    <row r="181" ht="15.75" customHeight="1">
      <c r="A181" s="7" t="s">
        <v>245</v>
      </c>
      <c r="B181" s="7" t="s">
        <v>246</v>
      </c>
      <c r="C181" s="7" t="s">
        <v>455</v>
      </c>
      <c r="D181" s="7" t="s">
        <v>281</v>
      </c>
      <c r="E181" s="18">
        <v>0.0</v>
      </c>
      <c r="F181" s="18">
        <v>0.0</v>
      </c>
      <c r="G181" s="19">
        <v>0.0</v>
      </c>
      <c r="H181" s="6">
        <f>E181*PV_SESSION+F181*PV_CHALLENGE+G181*PV_WIN</f>
        <v>0</v>
      </c>
    </row>
    <row r="182" ht="15.75" customHeight="1">
      <c r="A182" s="7" t="s">
        <v>245</v>
      </c>
      <c r="B182" s="7" t="s">
        <v>246</v>
      </c>
      <c r="C182" s="7" t="s">
        <v>456</v>
      </c>
      <c r="D182" s="7" t="s">
        <v>281</v>
      </c>
      <c r="E182" s="18">
        <v>0.0</v>
      </c>
      <c r="F182" s="18">
        <v>0.0</v>
      </c>
      <c r="G182" s="19">
        <v>0.0</v>
      </c>
      <c r="H182" s="6">
        <f>E182*PV_SESSION+F182*PV_CHALLENGE+G182*PV_WIN</f>
        <v>0</v>
      </c>
    </row>
    <row r="183" ht="15.75" customHeight="1">
      <c r="A183" s="7" t="s">
        <v>247</v>
      </c>
      <c r="B183" s="7" t="s">
        <v>248</v>
      </c>
      <c r="C183" s="7" t="s">
        <v>457</v>
      </c>
      <c r="D183" s="7" t="s">
        <v>279</v>
      </c>
      <c r="E183" s="18">
        <v>0.0</v>
      </c>
      <c r="F183" s="19">
        <v>0.0</v>
      </c>
      <c r="G183" s="19">
        <v>0.0</v>
      </c>
      <c r="H183" s="6">
        <f>E183*PV_SESSION+F183*PV_CHALLENGE+G183*PV_WIN</f>
        <v>0</v>
      </c>
    </row>
    <row r="184" ht="15.75" customHeight="1">
      <c r="A184" s="7" t="s">
        <v>249</v>
      </c>
      <c r="B184" s="7" t="s">
        <v>250</v>
      </c>
      <c r="C184" s="7" t="s">
        <v>458</v>
      </c>
      <c r="D184" s="7" t="s">
        <v>279</v>
      </c>
      <c r="E184" s="19">
        <v>0.0</v>
      </c>
      <c r="F184" s="19">
        <v>0.0</v>
      </c>
      <c r="G184" s="19">
        <v>0.0</v>
      </c>
      <c r="H184" s="6">
        <f>E184*PV_SESSION+F184*PV_CHALLENGE+G184*PV_WIN</f>
        <v>0</v>
      </c>
    </row>
    <row r="185" ht="15.75" customHeight="1">
      <c r="A185" s="7" t="s">
        <v>249</v>
      </c>
      <c r="B185" s="7" t="s">
        <v>250</v>
      </c>
      <c r="C185" s="7" t="s">
        <v>459</v>
      </c>
      <c r="D185" s="7" t="s">
        <v>281</v>
      </c>
      <c r="E185" s="19">
        <v>0.0</v>
      </c>
      <c r="F185" s="19">
        <v>0.0</v>
      </c>
      <c r="G185" s="19">
        <v>0.0</v>
      </c>
      <c r="H185" s="6">
        <f>E185*PV_SESSION+F185*PV_CHALLENGE+G185*PV_WIN</f>
        <v>0</v>
      </c>
    </row>
    <row r="186" ht="15.75" customHeight="1">
      <c r="A186" s="7" t="s">
        <v>249</v>
      </c>
      <c r="B186" s="7" t="s">
        <v>250</v>
      </c>
      <c r="C186" s="7" t="s">
        <v>460</v>
      </c>
      <c r="D186" s="7" t="s">
        <v>281</v>
      </c>
      <c r="E186" s="18">
        <v>0.0</v>
      </c>
      <c r="F186" s="18">
        <v>0.0</v>
      </c>
      <c r="G186" s="19">
        <v>0.0</v>
      </c>
      <c r="H186" s="6">
        <f>E186*PV_SESSION+F186*PV_CHALLENGE+G186*PV_WIN</f>
        <v>0</v>
      </c>
    </row>
    <row r="187" ht="15.75" customHeight="1">
      <c r="A187" s="7" t="s">
        <v>249</v>
      </c>
      <c r="B187" s="7" t="s">
        <v>250</v>
      </c>
      <c r="C187" s="7" t="s">
        <v>461</v>
      </c>
      <c r="D187" s="7" t="s">
        <v>281</v>
      </c>
      <c r="E187" s="18">
        <v>0.0</v>
      </c>
      <c r="F187" s="19">
        <v>0.0</v>
      </c>
      <c r="G187" s="19">
        <v>0.0</v>
      </c>
      <c r="H187" s="6">
        <f>E187*PV_SESSION+F187*PV_CHALLENGE+G187*PV_WIN</f>
        <v>0</v>
      </c>
    </row>
    <row r="188" ht="15.75" customHeight="1">
      <c r="A188" s="7" t="s">
        <v>251</v>
      </c>
      <c r="B188" s="7" t="s">
        <v>252</v>
      </c>
      <c r="C188" s="7" t="s">
        <v>462</v>
      </c>
      <c r="D188" s="7" t="s">
        <v>279</v>
      </c>
      <c r="E188" s="18">
        <v>0.0</v>
      </c>
      <c r="F188" s="19">
        <v>0.0</v>
      </c>
      <c r="G188" s="19">
        <v>0.0</v>
      </c>
      <c r="H188" s="6">
        <f>E188*PV_SESSION+F188*PV_CHALLENGE+G188*PV_WIN</f>
        <v>0</v>
      </c>
    </row>
    <row r="189" ht="15.75" customHeight="1">
      <c r="A189" s="7" t="s">
        <v>251</v>
      </c>
      <c r="B189" s="7" t="s">
        <v>252</v>
      </c>
      <c r="C189" s="7" t="s">
        <v>463</v>
      </c>
      <c r="D189" s="7" t="s">
        <v>281</v>
      </c>
      <c r="E189" s="18">
        <v>0.0</v>
      </c>
      <c r="F189" s="18">
        <v>0.0</v>
      </c>
      <c r="G189" s="19">
        <v>0.0</v>
      </c>
      <c r="H189" s="6">
        <f>E189*PV_SESSION+F189*PV_CHALLENGE+G189*PV_WIN</f>
        <v>0</v>
      </c>
    </row>
    <row r="190" ht="15.75" customHeight="1">
      <c r="A190" s="7" t="s">
        <v>253</v>
      </c>
      <c r="B190" s="7" t="s">
        <v>254</v>
      </c>
      <c r="C190" s="7" t="s">
        <v>464</v>
      </c>
      <c r="D190" s="7" t="s">
        <v>279</v>
      </c>
      <c r="E190" s="18">
        <v>0.0</v>
      </c>
      <c r="F190" s="19">
        <v>0.0</v>
      </c>
      <c r="G190" s="19">
        <v>0.0</v>
      </c>
      <c r="H190" s="6">
        <f>E190*PV_SESSION+F190*PV_CHALLENGE+G190*PV_WIN</f>
        <v>0</v>
      </c>
    </row>
    <row r="191" ht="15.75" customHeight="1">
      <c r="A191" s="7" t="s">
        <v>253</v>
      </c>
      <c r="B191" s="7" t="s">
        <v>254</v>
      </c>
      <c r="C191" s="7" t="s">
        <v>465</v>
      </c>
      <c r="D191" s="7" t="s">
        <v>281</v>
      </c>
      <c r="E191" s="18">
        <v>0.0</v>
      </c>
      <c r="F191" s="18">
        <v>0.0</v>
      </c>
      <c r="G191" s="18">
        <v>0.0</v>
      </c>
      <c r="H191" s="6">
        <f>E191*PV_SESSION+F191*PV_CHALLENGE+G191*PV_WIN</f>
        <v>0</v>
      </c>
    </row>
    <row r="192" ht="15.75" customHeight="1">
      <c r="A192" s="7" t="s">
        <v>253</v>
      </c>
      <c r="B192" s="7" t="s">
        <v>254</v>
      </c>
      <c r="C192" s="7" t="s">
        <v>466</v>
      </c>
      <c r="D192" s="7" t="s">
        <v>281</v>
      </c>
      <c r="E192" s="18">
        <v>0.0</v>
      </c>
      <c r="F192" s="18">
        <v>0.0</v>
      </c>
      <c r="G192" s="19">
        <v>0.0</v>
      </c>
      <c r="H192" s="6">
        <f>E192*PV_SESSION+F192*PV_CHALLENGE+G192*PV_WIN</f>
        <v>0</v>
      </c>
    </row>
    <row r="193" ht="15.75" customHeight="1">
      <c r="A193" s="7" t="s">
        <v>256</v>
      </c>
      <c r="B193" s="7" t="s">
        <v>257</v>
      </c>
      <c r="C193" s="7" t="s">
        <v>467</v>
      </c>
      <c r="D193" s="7" t="s">
        <v>279</v>
      </c>
      <c r="E193" s="18">
        <v>0.0</v>
      </c>
      <c r="F193" s="19">
        <v>0.0</v>
      </c>
      <c r="G193" s="19">
        <v>0.0</v>
      </c>
      <c r="H193" s="6">
        <f>E193*PV_SESSION+F193*PV_CHALLENGE+G193*PV_WIN</f>
        <v>0</v>
      </c>
    </row>
    <row r="194" ht="15.75" customHeight="1">
      <c r="A194" s="7" t="s">
        <v>256</v>
      </c>
      <c r="B194" s="7" t="s">
        <v>257</v>
      </c>
      <c r="C194" s="7" t="s">
        <v>468</v>
      </c>
      <c r="D194" s="7" t="s">
        <v>281</v>
      </c>
      <c r="E194" s="18">
        <v>0.0</v>
      </c>
      <c r="F194" s="18">
        <v>0.0</v>
      </c>
      <c r="G194" s="19">
        <v>0.0</v>
      </c>
      <c r="H194" s="6">
        <f>E194*PV_SESSION+F194*PV_CHALLENGE+G194*PV_WIN</f>
        <v>0</v>
      </c>
    </row>
    <row r="195" ht="15.75" customHeight="1">
      <c r="A195" s="7" t="s">
        <v>258</v>
      </c>
      <c r="B195" s="7" t="s">
        <v>259</v>
      </c>
      <c r="C195" s="7" t="s">
        <v>469</v>
      </c>
      <c r="D195" s="7" t="s">
        <v>279</v>
      </c>
      <c r="E195" s="18">
        <v>0.0</v>
      </c>
      <c r="F195" s="19">
        <v>0.0</v>
      </c>
      <c r="G195" s="19">
        <v>0.0</v>
      </c>
      <c r="H195" s="6">
        <f>E195*PV_SESSION+F195*PV_CHALLENGE+G195*PV_WIN</f>
        <v>0</v>
      </c>
    </row>
    <row r="196" ht="15.75" customHeight="1">
      <c r="A196" s="7" t="s">
        <v>258</v>
      </c>
      <c r="B196" s="7" t="s">
        <v>259</v>
      </c>
      <c r="C196" s="7" t="s">
        <v>470</v>
      </c>
      <c r="D196" s="7" t="s">
        <v>281</v>
      </c>
      <c r="E196" s="18">
        <v>0.0</v>
      </c>
      <c r="F196" s="19">
        <v>0.0</v>
      </c>
      <c r="G196" s="19">
        <v>0.0</v>
      </c>
      <c r="H196" s="6">
        <f>E196*PV_SESSION+F196*PV_CHALLENGE+G196*PV_WIN</f>
        <v>0</v>
      </c>
    </row>
    <row r="197" ht="15.75" customHeight="1">
      <c r="A197" s="7" t="s">
        <v>258</v>
      </c>
      <c r="B197" s="7" t="s">
        <v>259</v>
      </c>
      <c r="C197" s="7" t="s">
        <v>471</v>
      </c>
      <c r="D197" s="7" t="s">
        <v>281</v>
      </c>
      <c r="E197" s="18">
        <v>0.0</v>
      </c>
      <c r="F197" s="19">
        <v>0.0</v>
      </c>
      <c r="G197" s="19">
        <v>0.0</v>
      </c>
      <c r="H197" s="6">
        <f>E197*PV_SESSION+F197*PV_CHALLENGE+G197*PV_WIN</f>
        <v>0</v>
      </c>
    </row>
    <row r="198" ht="15.75" customHeight="1">
      <c r="A198" s="7" t="s">
        <v>258</v>
      </c>
      <c r="B198" s="7" t="s">
        <v>259</v>
      </c>
      <c r="C198" s="7" t="s">
        <v>472</v>
      </c>
      <c r="D198" s="7" t="s">
        <v>281</v>
      </c>
      <c r="E198" s="18">
        <v>0.0</v>
      </c>
      <c r="F198" s="18">
        <v>0.0</v>
      </c>
      <c r="G198" s="19">
        <v>0.0</v>
      </c>
      <c r="H198" s="6">
        <f>E198*PV_SESSION+F198*PV_CHALLENGE+G198*PV_WIN</f>
        <v>0</v>
      </c>
    </row>
    <row r="199" ht="15.75" customHeight="1">
      <c r="A199" s="7" t="s">
        <v>260</v>
      </c>
      <c r="B199" s="7" t="s">
        <v>261</v>
      </c>
      <c r="C199" s="7" t="s">
        <v>473</v>
      </c>
      <c r="D199" s="7" t="s">
        <v>279</v>
      </c>
      <c r="E199" s="18">
        <v>0.0</v>
      </c>
      <c r="F199" s="19">
        <v>0.0</v>
      </c>
      <c r="G199" s="19">
        <v>0.0</v>
      </c>
      <c r="H199" s="6">
        <f>E199*PV_SESSION+F199*PV_CHALLENGE+G199*PV_WIN</f>
        <v>0</v>
      </c>
    </row>
    <row r="200" ht="15.75" customHeight="1">
      <c r="A200" s="7" t="s">
        <v>260</v>
      </c>
      <c r="B200" s="7" t="s">
        <v>261</v>
      </c>
      <c r="C200" s="7" t="s">
        <v>474</v>
      </c>
      <c r="D200" s="7" t="s">
        <v>281</v>
      </c>
      <c r="E200" s="19">
        <v>0.0</v>
      </c>
      <c r="F200" s="18">
        <v>0.0</v>
      </c>
      <c r="G200" s="19">
        <v>0.0</v>
      </c>
      <c r="H200" s="6">
        <f>E200*PV_SESSION+F200*PV_CHALLENGE+G200*PV_WIN</f>
        <v>0</v>
      </c>
    </row>
    <row r="201" ht="15.75" customHeight="1">
      <c r="A201" s="7" t="s">
        <v>262</v>
      </c>
      <c r="B201" s="7" t="s">
        <v>263</v>
      </c>
      <c r="C201" s="7" t="s">
        <v>475</v>
      </c>
      <c r="D201" s="7" t="s">
        <v>279</v>
      </c>
      <c r="E201" s="18">
        <v>0.0</v>
      </c>
      <c r="F201" s="19">
        <v>0.0</v>
      </c>
      <c r="G201" s="19">
        <v>0.0</v>
      </c>
      <c r="H201" s="6">
        <f>E201*PV_SESSION+F201*PV_CHALLENGE+G201*PV_WIN</f>
        <v>0</v>
      </c>
    </row>
    <row r="202" ht="15.75" customHeight="1">
      <c r="A202" s="7" t="s">
        <v>262</v>
      </c>
      <c r="B202" s="7" t="s">
        <v>263</v>
      </c>
      <c r="C202" s="7" t="s">
        <v>476</v>
      </c>
      <c r="D202" s="7" t="s">
        <v>281</v>
      </c>
      <c r="E202" s="18">
        <v>0.0</v>
      </c>
      <c r="F202" s="18">
        <v>0.0</v>
      </c>
      <c r="G202" s="18">
        <v>0.0</v>
      </c>
      <c r="H202" s="6">
        <f>E202*PV_SESSION+F202*PV_CHALLENGE+G202*PV_WIN</f>
        <v>0</v>
      </c>
    </row>
    <row r="203" ht="15.75" customHeight="1">
      <c r="A203" s="7" t="s">
        <v>262</v>
      </c>
      <c r="B203" s="7" t="s">
        <v>263</v>
      </c>
      <c r="C203" s="7" t="s">
        <v>477</v>
      </c>
      <c r="D203" s="7" t="s">
        <v>281</v>
      </c>
      <c r="E203" s="18">
        <v>0.0</v>
      </c>
      <c r="F203" s="18">
        <v>0.0</v>
      </c>
      <c r="G203" s="19">
        <v>0.0</v>
      </c>
      <c r="H203" s="6">
        <f>E203*PV_SESSION+F203*PV_CHALLENGE+G203*PV_WIN</f>
        <v>0</v>
      </c>
    </row>
    <row r="204" ht="15.75" customHeight="1">
      <c r="A204" s="7" t="s">
        <v>264</v>
      </c>
      <c r="B204" s="7" t="s">
        <v>265</v>
      </c>
      <c r="C204" s="7" t="s">
        <v>478</v>
      </c>
      <c r="D204" s="7" t="s">
        <v>279</v>
      </c>
      <c r="E204" s="19">
        <v>0.0</v>
      </c>
      <c r="F204" s="18">
        <v>0.0</v>
      </c>
      <c r="G204" s="19">
        <v>0.0</v>
      </c>
      <c r="H204" s="6">
        <f>E204*PV_SESSION+F204*PV_CHALLENGE+G204*PV_WIN</f>
        <v>0</v>
      </c>
    </row>
    <row r="205" ht="15.75" customHeight="1">
      <c r="A205" s="7" t="s">
        <v>264</v>
      </c>
      <c r="B205" s="7" t="s">
        <v>265</v>
      </c>
      <c r="C205" s="7" t="s">
        <v>479</v>
      </c>
      <c r="D205" s="7" t="s">
        <v>281</v>
      </c>
      <c r="E205" s="19">
        <v>0.0</v>
      </c>
      <c r="F205" s="19">
        <v>0.0</v>
      </c>
      <c r="G205" s="19">
        <v>0.0</v>
      </c>
      <c r="H205" s="6">
        <f>E205*PV_SESSION+F205*PV_CHALLENGE+G205*PV_WIN</f>
        <v>0</v>
      </c>
    </row>
    <row r="206" ht="15.75" customHeight="1">
      <c r="A206" s="7" t="s">
        <v>266</v>
      </c>
      <c r="B206" s="7" t="s">
        <v>267</v>
      </c>
      <c r="C206" s="7" t="s">
        <v>480</v>
      </c>
      <c r="D206" s="7" t="s">
        <v>279</v>
      </c>
      <c r="E206" s="18">
        <v>0.0</v>
      </c>
      <c r="F206" s="19">
        <v>0.0</v>
      </c>
      <c r="G206" s="19">
        <v>0.0</v>
      </c>
      <c r="H206" s="6">
        <f>E206*PV_SESSION+F206*PV_CHALLENGE+G206*PV_WIN</f>
        <v>0</v>
      </c>
    </row>
    <row r="207" ht="15.75" customHeight="1">
      <c r="A207" s="7" t="s">
        <v>266</v>
      </c>
      <c r="B207" s="7" t="s">
        <v>267</v>
      </c>
      <c r="C207" s="7" t="s">
        <v>481</v>
      </c>
      <c r="D207" s="7" t="s">
        <v>281</v>
      </c>
      <c r="E207" s="18">
        <v>0.0</v>
      </c>
      <c r="F207" s="19">
        <v>0.0</v>
      </c>
      <c r="G207" s="19">
        <v>0.0</v>
      </c>
      <c r="H207" s="6">
        <f>E207*PV_SESSION+F207*PV_CHALLENGE+G207*PV_WIN</f>
        <v>0</v>
      </c>
    </row>
    <row r="208" ht="15.75" customHeight="1">
      <c r="A208" s="7" t="s">
        <v>266</v>
      </c>
      <c r="B208" s="7" t="s">
        <v>267</v>
      </c>
      <c r="C208" s="7" t="s">
        <v>444</v>
      </c>
      <c r="D208" s="7" t="s">
        <v>281</v>
      </c>
      <c r="E208" s="18">
        <v>0.0</v>
      </c>
      <c r="F208" s="18">
        <v>0.0</v>
      </c>
      <c r="G208" s="19">
        <v>0.0</v>
      </c>
      <c r="H208" s="6">
        <f>E208*PV_SESSION+F208*PV_CHALLENGE+G208*PV_WIN</f>
        <v>0</v>
      </c>
    </row>
    <row r="209" ht="15.75" customHeight="1">
      <c r="A209" s="7" t="s">
        <v>266</v>
      </c>
      <c r="B209" s="7" t="s">
        <v>267</v>
      </c>
      <c r="C209" s="7" t="s">
        <v>464</v>
      </c>
      <c r="D209" s="7" t="s">
        <v>281</v>
      </c>
      <c r="E209" s="18">
        <v>0.0</v>
      </c>
      <c r="F209" s="19">
        <v>0.0</v>
      </c>
      <c r="G209" s="19">
        <v>0.0</v>
      </c>
      <c r="H209" s="6">
        <f>E209*PV_SESSION+F209*PV_CHALLENGE+G209*PV_WIN</f>
        <v>0</v>
      </c>
    </row>
    <row r="210" ht="15.75" customHeight="1">
      <c r="A210" s="7" t="s">
        <v>268</v>
      </c>
      <c r="B210" s="7" t="s">
        <v>269</v>
      </c>
      <c r="C210" s="7" t="s">
        <v>482</v>
      </c>
      <c r="D210" s="7" t="s">
        <v>279</v>
      </c>
      <c r="E210" s="18">
        <v>0.0</v>
      </c>
      <c r="F210" s="18">
        <v>0.0</v>
      </c>
      <c r="G210" s="19">
        <v>0.0</v>
      </c>
      <c r="H210" s="6">
        <f>E210*PV_SESSION+F210*PV_CHALLENGE+G210*PV_WIN</f>
        <v>0</v>
      </c>
    </row>
    <row r="211" ht="15.75" customHeight="1">
      <c r="A211" s="7" t="s">
        <v>268</v>
      </c>
      <c r="B211" s="7" t="s">
        <v>269</v>
      </c>
      <c r="C211" s="7" t="s">
        <v>483</v>
      </c>
      <c r="D211" s="7" t="s">
        <v>281</v>
      </c>
      <c r="E211" s="18">
        <v>0.0</v>
      </c>
      <c r="F211" s="18">
        <v>0.0</v>
      </c>
      <c r="G211" s="19">
        <v>0.0</v>
      </c>
      <c r="H211" s="6">
        <f>E211*PV_SESSION+F211*PV_CHALLENGE+G211*PV_WIN</f>
        <v>0</v>
      </c>
    </row>
    <row r="212" ht="15.75" customHeight="1">
      <c r="A212" s="7" t="s">
        <v>270</v>
      </c>
      <c r="B212" s="7" t="s">
        <v>271</v>
      </c>
      <c r="C212" s="7" t="s">
        <v>484</v>
      </c>
      <c r="D212" s="7" t="s">
        <v>279</v>
      </c>
      <c r="E212" s="18">
        <v>0.0</v>
      </c>
      <c r="F212" s="19">
        <v>0.0</v>
      </c>
      <c r="G212" s="19">
        <v>0.0</v>
      </c>
      <c r="H212" s="6">
        <f>E212*PV_SESSION+F212*PV_CHALLENGE+G212*PV_WIN</f>
        <v>0</v>
      </c>
    </row>
    <row r="213" ht="15.75" customHeight="1">
      <c r="A213" s="7" t="s">
        <v>270</v>
      </c>
      <c r="B213" s="7" t="s">
        <v>271</v>
      </c>
      <c r="C213" s="7" t="s">
        <v>485</v>
      </c>
      <c r="D213" s="7" t="s">
        <v>281</v>
      </c>
      <c r="E213" s="19">
        <v>0.0</v>
      </c>
      <c r="F213" s="19">
        <v>0.0</v>
      </c>
      <c r="G213" s="19">
        <v>0.0</v>
      </c>
      <c r="H213" s="6">
        <f>E213*PV_SESSION+F213*PV_CHALLENGE+G213*PV_WIN</f>
        <v>0</v>
      </c>
    </row>
    <row r="214" ht="15.75" customHeight="1">
      <c r="A214" s="7" t="s">
        <v>272</v>
      </c>
      <c r="B214" s="7" t="s">
        <v>273</v>
      </c>
      <c r="C214" s="7" t="s">
        <v>486</v>
      </c>
      <c r="D214" s="7" t="s">
        <v>279</v>
      </c>
      <c r="E214" s="18">
        <v>0.0</v>
      </c>
      <c r="F214" s="18">
        <v>0.0</v>
      </c>
      <c r="G214" s="19">
        <v>0.0</v>
      </c>
      <c r="H214" s="6">
        <f>E214*PV_SESSION+F214*PV_CHALLENGE+G214*PV_WIN</f>
        <v>0</v>
      </c>
    </row>
    <row r="215" ht="15.75" customHeight="1">
      <c r="A215" s="7" t="s">
        <v>272</v>
      </c>
      <c r="B215" s="7" t="s">
        <v>273</v>
      </c>
      <c r="C215" s="7" t="s">
        <v>487</v>
      </c>
      <c r="D215" s="7" t="s">
        <v>281</v>
      </c>
      <c r="E215" s="18">
        <v>0.0</v>
      </c>
      <c r="F215" s="18">
        <v>0.0</v>
      </c>
      <c r="G215" s="19">
        <v>0.0</v>
      </c>
      <c r="H215" s="6">
        <f>E215*PV_SESSION+F215*PV_CHALLENGE+G215*PV_WIN</f>
        <v>0</v>
      </c>
    </row>
    <row r="216" ht="15.75" customHeight="1">
      <c r="A216" s="7" t="s">
        <v>272</v>
      </c>
      <c r="B216" s="7" t="s">
        <v>273</v>
      </c>
      <c r="C216" s="7" t="s">
        <v>488</v>
      </c>
      <c r="D216" s="7" t="s">
        <v>281</v>
      </c>
      <c r="E216" s="18">
        <v>0.0</v>
      </c>
      <c r="F216" s="19">
        <v>0.0</v>
      </c>
      <c r="G216" s="19">
        <v>0.0</v>
      </c>
      <c r="H216" s="6">
        <f>E216*PV_SESSION+F216*PV_CHALLENGE+G216*PV_WIN</f>
        <v>0</v>
      </c>
    </row>
    <row r="217" ht="15.75" customHeight="1">
      <c r="A217" s="7" t="s">
        <v>272</v>
      </c>
      <c r="B217" s="7" t="s">
        <v>273</v>
      </c>
      <c r="C217" s="7" t="s">
        <v>489</v>
      </c>
      <c r="D217" s="7" t="s">
        <v>281</v>
      </c>
      <c r="E217" s="18">
        <v>0.0</v>
      </c>
      <c r="F217" s="18">
        <v>0.0</v>
      </c>
      <c r="G217" s="18">
        <v>0.0</v>
      </c>
      <c r="H217" s="6">
        <f>E217*PV_SESSION+F217*PV_CHALLENGE+G217*PV_WIN</f>
        <v>0</v>
      </c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16.0"/>
    <col customWidth="1" min="4" max="4" width="10.0"/>
    <col customWidth="1" min="5" max="5" width="16.0"/>
    <col customWidth="1" min="6" max="7" width="11.0"/>
    <col customWidth="1" min="8" max="8" width="16.0"/>
    <col customWidth="1" min="9" max="9" width="18.0"/>
    <col customWidth="1" min="10" max="11" width="13.0"/>
    <col customWidth="1" min="12" max="26" width="8.71"/>
  </cols>
  <sheetData>
    <row r="1">
      <c r="A1" s="3" t="s">
        <v>69</v>
      </c>
      <c r="B1" s="3" t="s">
        <v>70</v>
      </c>
      <c r="C1" s="3" t="s">
        <v>495</v>
      </c>
      <c r="D1" s="3" t="s">
        <v>496</v>
      </c>
      <c r="E1" s="3"/>
      <c r="F1" s="3" t="s">
        <v>497</v>
      </c>
      <c r="G1" s="3" t="s">
        <v>498</v>
      </c>
      <c r="H1" s="3" t="s">
        <v>499</v>
      </c>
      <c r="I1" s="3" t="s">
        <v>500</v>
      </c>
      <c r="J1" s="3" t="s">
        <v>501</v>
      </c>
      <c r="K1" s="3" t="s">
        <v>502</v>
      </c>
    </row>
    <row r="2">
      <c r="A2" s="7" t="s">
        <v>79</v>
      </c>
      <c r="B2" s="7" t="s">
        <v>80</v>
      </c>
      <c r="C2" s="18">
        <v>1.0</v>
      </c>
      <c r="D2" s="18">
        <v>1.0</v>
      </c>
      <c r="E2" s="19"/>
      <c r="F2" s="18">
        <v>1.0</v>
      </c>
      <c r="G2" s="19">
        <v>0.0</v>
      </c>
      <c r="H2" s="19">
        <v>0.0</v>
      </c>
      <c r="I2" s="19">
        <v>0.0</v>
      </c>
      <c r="J2" s="19">
        <v>0.0</v>
      </c>
      <c r="K2" s="6">
        <f>C2*PV_UPDATE+D2*PV_DEPLOY+E2*PV_HELP+F2*PV_BLOG+G2*PV_PR+H2*PV_BUILDNIGHT+I2*PV_MENTOR+J2*PV_DEMO</f>
        <v>45</v>
      </c>
    </row>
    <row r="3">
      <c r="A3" s="7" t="s">
        <v>82</v>
      </c>
      <c r="B3" s="7" t="s">
        <v>83</v>
      </c>
      <c r="C3" s="18">
        <v>1.0</v>
      </c>
      <c r="D3" s="18">
        <v>1.0</v>
      </c>
      <c r="E3" s="18"/>
      <c r="F3" s="18">
        <v>1.0</v>
      </c>
      <c r="G3" s="19">
        <v>0.0</v>
      </c>
      <c r="H3" s="19">
        <v>0.0</v>
      </c>
      <c r="I3" s="19">
        <v>0.0</v>
      </c>
      <c r="J3" s="19">
        <v>0.0</v>
      </c>
      <c r="K3" s="6">
        <f>C3*PV_UPDATE+D3*PV_DEPLOY+E3*PV_HELP+F3*PV_BLOG+G3*PV_PR+H3*PV_BUILDNIGHT+I3*PV_MENTOR+J3*PV_DEMO</f>
        <v>45</v>
      </c>
    </row>
    <row r="4">
      <c r="A4" s="7" t="s">
        <v>84</v>
      </c>
      <c r="B4" s="7" t="s">
        <v>85</v>
      </c>
      <c r="C4" s="19">
        <v>0.0</v>
      </c>
      <c r="D4" s="19">
        <v>0.0</v>
      </c>
      <c r="E4" s="19"/>
      <c r="F4" s="19">
        <v>0.0</v>
      </c>
      <c r="G4" s="19">
        <v>0.0</v>
      </c>
      <c r="H4" s="19">
        <v>0.0</v>
      </c>
      <c r="I4" s="19">
        <v>0.0</v>
      </c>
      <c r="J4" s="19">
        <v>0.0</v>
      </c>
      <c r="K4" s="6">
        <f>C4*PV_UPDATE+D4*PV_DEPLOY+E4*PV_HELP+F4*PV_BLOG+G4*PV_PR+H4*PV_BUILDNIGHT+I4*PV_MENTOR+J4*PV_DEMO</f>
        <v>0</v>
      </c>
    </row>
    <row r="5">
      <c r="A5" s="7" t="s">
        <v>87</v>
      </c>
      <c r="B5" s="7" t="s">
        <v>88</v>
      </c>
      <c r="C5" s="19">
        <v>0.0</v>
      </c>
      <c r="D5" s="19">
        <v>0.0</v>
      </c>
      <c r="E5" s="19"/>
      <c r="F5" s="19">
        <v>0.0</v>
      </c>
      <c r="G5" s="19">
        <v>0.0</v>
      </c>
      <c r="H5" s="19">
        <v>0.0</v>
      </c>
      <c r="I5" s="19">
        <v>0.0</v>
      </c>
      <c r="J5" s="19">
        <v>0.0</v>
      </c>
      <c r="K5" s="6">
        <f>C5*PV_UPDATE+D5*PV_DEPLOY+E5*PV_HELP+F5*PV_BLOG+G5*PV_PR+H5*PV_BUILDNIGHT+I5*PV_MENTOR+J5*PV_DEMO</f>
        <v>0</v>
      </c>
    </row>
    <row r="6">
      <c r="A6" s="7" t="s">
        <v>89</v>
      </c>
      <c r="B6" s="7" t="s">
        <v>90</v>
      </c>
      <c r="C6" s="19">
        <v>0.0</v>
      </c>
      <c r="D6" s="19">
        <v>0.0</v>
      </c>
      <c r="E6" s="19"/>
      <c r="F6" s="19">
        <v>0.0</v>
      </c>
      <c r="G6" s="19">
        <v>0.0</v>
      </c>
      <c r="H6" s="19">
        <v>0.0</v>
      </c>
      <c r="I6" s="19">
        <v>0.0</v>
      </c>
      <c r="J6" s="19">
        <v>0.0</v>
      </c>
      <c r="K6" s="6">
        <f>C6*PV_UPDATE+D6*PV_DEPLOY+E6*PV_HELP+F6*PV_BLOG+G6*PV_PR+H6*PV_BUILDNIGHT+I6*PV_MENTOR+J6*PV_DEMO</f>
        <v>0</v>
      </c>
    </row>
    <row r="7">
      <c r="A7" s="7" t="s">
        <v>91</v>
      </c>
      <c r="B7" s="7" t="s">
        <v>92</v>
      </c>
      <c r="C7" s="19">
        <v>0.0</v>
      </c>
      <c r="D7" s="19">
        <v>0.0</v>
      </c>
      <c r="E7" s="19"/>
      <c r="F7" s="19">
        <v>0.0</v>
      </c>
      <c r="G7" s="19">
        <v>0.0</v>
      </c>
      <c r="H7" s="19">
        <v>0.0</v>
      </c>
      <c r="I7" s="19">
        <v>0.0</v>
      </c>
      <c r="J7" s="19">
        <v>0.0</v>
      </c>
      <c r="K7" s="6">
        <f>C7*PV_UPDATE+D7*PV_DEPLOY+E7*PV_HELP+F7*PV_BLOG+G7*PV_PR+H7*PV_BUILDNIGHT+I7*PV_MENTOR+J7*PV_DEMO</f>
        <v>0</v>
      </c>
    </row>
    <row r="8">
      <c r="A8" s="7" t="s">
        <v>93</v>
      </c>
      <c r="B8" s="7" t="s">
        <v>94</v>
      </c>
      <c r="C8" s="18">
        <v>1.0</v>
      </c>
      <c r="D8" s="19">
        <v>0.0</v>
      </c>
      <c r="E8" s="19"/>
      <c r="F8" s="18">
        <v>1.0</v>
      </c>
      <c r="G8" s="19">
        <v>0.0</v>
      </c>
      <c r="H8" s="19">
        <v>0.0</v>
      </c>
      <c r="I8" s="19">
        <v>0.0</v>
      </c>
      <c r="J8" s="19">
        <v>0.0</v>
      </c>
      <c r="K8" s="6">
        <f>C8*PV_UPDATE+D8*PV_DEPLOY+E8*PV_HELP+F8*PV_BLOG+G8*PV_PR+H8*PV_BUILDNIGHT+I8*PV_MENTOR+J8*PV_DEMO</f>
        <v>30</v>
      </c>
    </row>
    <row r="9">
      <c r="A9" s="7" t="s">
        <v>96</v>
      </c>
      <c r="B9" s="7" t="s">
        <v>97</v>
      </c>
      <c r="C9" s="19">
        <v>0.0</v>
      </c>
      <c r="D9" s="19">
        <v>0.0</v>
      </c>
      <c r="E9" s="19"/>
      <c r="F9" s="19">
        <v>0.0</v>
      </c>
      <c r="G9" s="19">
        <v>0.0</v>
      </c>
      <c r="H9" s="19">
        <v>0.0</v>
      </c>
      <c r="I9" s="19">
        <v>0.0</v>
      </c>
      <c r="J9" s="19">
        <v>0.0</v>
      </c>
      <c r="K9" s="6">
        <f>C9*PV_UPDATE+D9*PV_DEPLOY+E9*PV_HELP+F9*PV_BLOG+G9*PV_PR+H9*PV_BUILDNIGHT+I9*PV_MENTOR+J9*PV_DEMO</f>
        <v>0</v>
      </c>
    </row>
    <row r="10">
      <c r="A10" s="7" t="s">
        <v>98</v>
      </c>
      <c r="B10" s="7" t="s">
        <v>99</v>
      </c>
      <c r="C10" s="19">
        <v>0.0</v>
      </c>
      <c r="D10" s="19">
        <v>0.0</v>
      </c>
      <c r="E10" s="19"/>
      <c r="F10" s="19">
        <v>0.0</v>
      </c>
      <c r="G10" s="19">
        <v>0.0</v>
      </c>
      <c r="H10" s="19">
        <v>0.0</v>
      </c>
      <c r="I10" s="19">
        <v>0.0</v>
      </c>
      <c r="J10" s="19">
        <v>0.0</v>
      </c>
      <c r="K10" s="6">
        <f>C10*PV_UPDATE+D10*PV_DEPLOY+E10*PV_HELP+F10*PV_BLOG+G10*PV_PR+H10*PV_BUILDNIGHT+I10*PV_MENTOR+J10*PV_DEMO</f>
        <v>0</v>
      </c>
    </row>
    <row r="11">
      <c r="A11" s="7" t="s">
        <v>100</v>
      </c>
      <c r="B11" s="7" t="s">
        <v>101</v>
      </c>
      <c r="C11" s="19">
        <v>0.0</v>
      </c>
      <c r="D11" s="19">
        <v>0.0</v>
      </c>
      <c r="E11" s="19"/>
      <c r="F11" s="19">
        <v>0.0</v>
      </c>
      <c r="G11" s="19">
        <v>0.0</v>
      </c>
      <c r="H11" s="19">
        <v>0.0</v>
      </c>
      <c r="I11" s="19">
        <v>0.0</v>
      </c>
      <c r="J11" s="19">
        <v>0.0</v>
      </c>
      <c r="K11" s="6">
        <f>C11*PV_UPDATE+D11*PV_DEPLOY+E11*PV_HELP+F11*PV_BLOG+G11*PV_PR+H11*PV_BUILDNIGHT+I11*PV_MENTOR+J11*PV_DEMO</f>
        <v>0</v>
      </c>
    </row>
    <row r="12">
      <c r="A12" s="7" t="s">
        <v>102</v>
      </c>
      <c r="B12" s="7" t="s">
        <v>103</v>
      </c>
      <c r="C12" s="18">
        <v>1.0</v>
      </c>
      <c r="D12" s="18">
        <v>1.0</v>
      </c>
      <c r="E12" s="19"/>
      <c r="F12" s="18">
        <v>1.0</v>
      </c>
      <c r="G12" s="19">
        <v>0.0</v>
      </c>
      <c r="H12" s="19">
        <v>0.0</v>
      </c>
      <c r="I12" s="19">
        <v>0.0</v>
      </c>
      <c r="J12" s="19">
        <v>0.0</v>
      </c>
      <c r="K12" s="6">
        <f>C12*PV_UPDATE+D12*PV_DEPLOY+E12*PV_HELP+F12*PV_BLOG+G12*PV_PR+H12*PV_BUILDNIGHT+I12*PV_MENTOR+J12*PV_DEMO</f>
        <v>45</v>
      </c>
    </row>
    <row r="13">
      <c r="A13" s="7" t="s">
        <v>104</v>
      </c>
      <c r="B13" s="7" t="s">
        <v>105</v>
      </c>
      <c r="C13" s="19">
        <v>0.0</v>
      </c>
      <c r="D13" s="19">
        <v>0.0</v>
      </c>
      <c r="E13" s="19"/>
      <c r="F13" s="19">
        <v>0.0</v>
      </c>
      <c r="G13" s="19">
        <v>0.0</v>
      </c>
      <c r="H13" s="19">
        <v>0.0</v>
      </c>
      <c r="I13" s="19">
        <v>0.0</v>
      </c>
      <c r="J13" s="19">
        <v>0.0</v>
      </c>
      <c r="K13" s="6">
        <f>C13*PV_UPDATE+D13*PV_DEPLOY+E13*PV_HELP+F13*PV_BLOG+G13*PV_PR+H13*PV_BUILDNIGHT+I13*PV_MENTOR+J13*PV_DEMO</f>
        <v>0</v>
      </c>
    </row>
    <row r="14">
      <c r="A14" s="7" t="s">
        <v>106</v>
      </c>
      <c r="B14" s="7" t="s">
        <v>107</v>
      </c>
      <c r="C14" s="19">
        <v>0.0</v>
      </c>
      <c r="D14" s="19">
        <v>0.0</v>
      </c>
      <c r="E14" s="19"/>
      <c r="F14" s="19">
        <v>0.0</v>
      </c>
      <c r="G14" s="19">
        <v>0.0</v>
      </c>
      <c r="H14" s="19">
        <v>0.0</v>
      </c>
      <c r="I14" s="19">
        <v>0.0</v>
      </c>
      <c r="J14" s="19">
        <v>0.0</v>
      </c>
      <c r="K14" s="6">
        <f>C14*PV_UPDATE+D14*PV_DEPLOY+E14*PV_HELP+F14*PV_BLOG+G14*PV_PR+H14*PV_BUILDNIGHT+I14*PV_MENTOR+J14*PV_DEMO</f>
        <v>0</v>
      </c>
    </row>
    <row r="15">
      <c r="A15" s="7" t="s">
        <v>108</v>
      </c>
      <c r="B15" s="7" t="s">
        <v>109</v>
      </c>
      <c r="C15" s="19">
        <v>0.0</v>
      </c>
      <c r="D15" s="19">
        <v>0.0</v>
      </c>
      <c r="E15" s="19"/>
      <c r="F15" s="19">
        <v>0.0</v>
      </c>
      <c r="G15" s="19">
        <v>0.0</v>
      </c>
      <c r="H15" s="19">
        <v>0.0</v>
      </c>
      <c r="I15" s="19">
        <v>0.0</v>
      </c>
      <c r="J15" s="19">
        <v>0.0</v>
      </c>
      <c r="K15" s="6">
        <f>C15*PV_UPDATE+D15*PV_DEPLOY+E15*PV_HELP+F15*PV_BLOG+G15*PV_PR+H15*PV_BUILDNIGHT+I15*PV_MENTOR+J15*PV_DEMO</f>
        <v>0</v>
      </c>
    </row>
    <row r="16">
      <c r="A16" s="7" t="s">
        <v>110</v>
      </c>
      <c r="B16" s="7" t="s">
        <v>111</v>
      </c>
      <c r="C16" s="18">
        <v>1.0</v>
      </c>
      <c r="D16" s="19">
        <v>0.0</v>
      </c>
      <c r="E16" s="19"/>
      <c r="F16" s="18">
        <v>1.0</v>
      </c>
      <c r="G16" s="19">
        <v>0.0</v>
      </c>
      <c r="H16" s="19">
        <v>0.0</v>
      </c>
      <c r="I16" s="19">
        <v>0.0</v>
      </c>
      <c r="J16" s="19">
        <v>0.0</v>
      </c>
      <c r="K16" s="6">
        <f>C16*PV_UPDATE+D16*PV_DEPLOY+E16*PV_HELP+F16*PV_BLOG+G16*PV_PR+H16*PV_BUILDNIGHT+I16*PV_MENTOR+J16*PV_DEMO</f>
        <v>30</v>
      </c>
    </row>
    <row r="17">
      <c r="A17" s="7" t="s">
        <v>112</v>
      </c>
      <c r="B17" s="7" t="s">
        <v>113</v>
      </c>
      <c r="C17" s="19">
        <v>0.0</v>
      </c>
      <c r="D17" s="19">
        <v>0.0</v>
      </c>
      <c r="E17" s="19"/>
      <c r="F17" s="19">
        <v>0.0</v>
      </c>
      <c r="G17" s="19">
        <v>0.0</v>
      </c>
      <c r="H17" s="19">
        <v>0.0</v>
      </c>
      <c r="I17" s="19">
        <v>0.0</v>
      </c>
      <c r="J17" s="19">
        <v>0.0</v>
      </c>
      <c r="K17" s="6">
        <f>C17*PV_UPDATE+D17*PV_DEPLOY+E17*PV_HELP+F17*PV_BLOG+G17*PV_PR+H17*PV_BUILDNIGHT+I17*PV_MENTOR+J17*PV_DEMO</f>
        <v>0</v>
      </c>
    </row>
    <row r="18">
      <c r="A18" s="7" t="s">
        <v>114</v>
      </c>
      <c r="B18" s="7" t="s">
        <v>115</v>
      </c>
      <c r="C18" s="19">
        <v>0.0</v>
      </c>
      <c r="D18" s="19">
        <v>0.0</v>
      </c>
      <c r="E18" s="19"/>
      <c r="F18" s="19">
        <v>0.0</v>
      </c>
      <c r="G18" s="19">
        <v>0.0</v>
      </c>
      <c r="H18" s="19">
        <v>0.0</v>
      </c>
      <c r="I18" s="19">
        <v>0.0</v>
      </c>
      <c r="J18" s="19">
        <v>0.0</v>
      </c>
      <c r="K18" s="6">
        <f>C18*PV_UPDATE+D18*PV_DEPLOY+E18*PV_HELP+F18*PV_BLOG+G18*PV_PR+H18*PV_BUILDNIGHT+I18*PV_MENTOR+J18*PV_DEMO</f>
        <v>0</v>
      </c>
    </row>
    <row r="19">
      <c r="A19" s="7" t="s">
        <v>116</v>
      </c>
      <c r="B19" s="7" t="s">
        <v>117</v>
      </c>
      <c r="C19" s="19">
        <v>0.0</v>
      </c>
      <c r="D19" s="19">
        <v>0.0</v>
      </c>
      <c r="E19" s="19"/>
      <c r="F19" s="19">
        <v>0.0</v>
      </c>
      <c r="G19" s="19">
        <v>0.0</v>
      </c>
      <c r="H19" s="19">
        <v>0.0</v>
      </c>
      <c r="I19" s="19">
        <v>0.0</v>
      </c>
      <c r="J19" s="19">
        <v>0.0</v>
      </c>
      <c r="K19" s="6">
        <f>C19*PV_UPDATE+D19*PV_DEPLOY+E19*PV_HELP+F19*PV_BLOG+G19*PV_PR+H19*PV_BUILDNIGHT+I19*PV_MENTOR+J19*PV_DEMO</f>
        <v>0</v>
      </c>
    </row>
    <row r="20">
      <c r="A20" s="7" t="s">
        <v>118</v>
      </c>
      <c r="B20" s="7" t="s">
        <v>119</v>
      </c>
      <c r="C20" s="18">
        <v>1.0</v>
      </c>
      <c r="D20" s="18">
        <v>1.0</v>
      </c>
      <c r="E20" s="19"/>
      <c r="F20" s="18">
        <v>1.0</v>
      </c>
      <c r="G20" s="19">
        <v>0.0</v>
      </c>
      <c r="H20" s="19">
        <v>0.0</v>
      </c>
      <c r="I20" s="19">
        <v>0.0</v>
      </c>
      <c r="J20" s="19">
        <v>0.0</v>
      </c>
      <c r="K20" s="6">
        <f>C20*PV_UPDATE+D20*PV_DEPLOY+E20*PV_HELP+F20*PV_BLOG+G20*PV_PR+H20*PV_BUILDNIGHT+I20*PV_MENTOR+J20*PV_DEMO</f>
        <v>45</v>
      </c>
    </row>
    <row r="21" ht="15.75" customHeight="1">
      <c r="A21" s="7" t="s">
        <v>120</v>
      </c>
      <c r="B21" s="7" t="s">
        <v>121</v>
      </c>
      <c r="C21" s="19">
        <v>0.0</v>
      </c>
      <c r="D21" s="19">
        <v>0.0</v>
      </c>
      <c r="E21" s="19"/>
      <c r="F21" s="19">
        <v>0.0</v>
      </c>
      <c r="G21" s="19">
        <v>0.0</v>
      </c>
      <c r="H21" s="19">
        <v>0.0</v>
      </c>
      <c r="I21" s="19">
        <v>0.0</v>
      </c>
      <c r="J21" s="19">
        <v>0.0</v>
      </c>
      <c r="K21" s="6">
        <f>C21*PV_UPDATE+D21*PV_DEPLOY+E21*PV_HELP+F21*PV_BLOG+G21*PV_PR+H21*PV_BUILDNIGHT+I21*PV_MENTOR+J21*PV_DEMO</f>
        <v>0</v>
      </c>
    </row>
    <row r="22" ht="15.75" customHeight="1">
      <c r="A22" s="7" t="s">
        <v>122</v>
      </c>
      <c r="B22" s="7" t="s">
        <v>123</v>
      </c>
      <c r="C22" s="19">
        <v>0.0</v>
      </c>
      <c r="D22" s="19">
        <v>0.0</v>
      </c>
      <c r="E22" s="19"/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6">
        <f>C22*PV_UPDATE+D22*PV_DEPLOY+E22*PV_HELP+F22*PV_BLOG+G22*PV_PR+H22*PV_BUILDNIGHT+I22*PV_MENTOR+J22*PV_DEMO</f>
        <v>0</v>
      </c>
    </row>
    <row r="23" ht="15.75" customHeight="1">
      <c r="A23" s="7" t="s">
        <v>124</v>
      </c>
      <c r="B23" s="7" t="s">
        <v>125</v>
      </c>
      <c r="C23" s="19">
        <v>0.0</v>
      </c>
      <c r="D23" s="19">
        <v>0.0</v>
      </c>
      <c r="E23" s="19"/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6">
        <f>C23*PV_UPDATE+D23*PV_DEPLOY+E23*PV_HELP+F23*PV_BLOG+G23*PV_PR+H23*PV_BUILDNIGHT+I23*PV_MENTOR+J23*PV_DEMO</f>
        <v>0</v>
      </c>
    </row>
    <row r="24" ht="15.75" customHeight="1">
      <c r="A24" s="7" t="s">
        <v>126</v>
      </c>
      <c r="B24" s="7" t="s">
        <v>127</v>
      </c>
      <c r="C24" s="19">
        <v>0.0</v>
      </c>
      <c r="D24" s="19">
        <v>0.0</v>
      </c>
      <c r="E24" s="19"/>
      <c r="F24" s="19">
        <v>0.0</v>
      </c>
      <c r="G24" s="19">
        <v>0.0</v>
      </c>
      <c r="H24" s="19">
        <v>0.0</v>
      </c>
      <c r="I24" s="19">
        <v>0.0</v>
      </c>
      <c r="J24" s="19">
        <v>0.0</v>
      </c>
      <c r="K24" s="6">
        <f>C24*PV_UPDATE+D24*PV_DEPLOY+E24*PV_HELP+F24*PV_BLOG+G24*PV_PR+H24*PV_BUILDNIGHT+I24*PV_MENTOR+J24*PV_DEMO</f>
        <v>0</v>
      </c>
    </row>
    <row r="25" ht="15.75" customHeight="1">
      <c r="A25" s="7" t="s">
        <v>128</v>
      </c>
      <c r="B25" s="7" t="s">
        <v>129</v>
      </c>
      <c r="C25" s="19">
        <v>0.0</v>
      </c>
      <c r="D25" s="19">
        <v>0.0</v>
      </c>
      <c r="E25" s="19"/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6">
        <f>C25*PV_UPDATE+D25*PV_DEPLOY+E25*PV_HELP+F25*PV_BLOG+G25*PV_PR+H25*PV_BUILDNIGHT+I25*PV_MENTOR+J25*PV_DEMO</f>
        <v>0</v>
      </c>
    </row>
    <row r="26" ht="15.75" customHeight="1">
      <c r="A26" s="7" t="s">
        <v>130</v>
      </c>
      <c r="B26" s="7" t="s">
        <v>131</v>
      </c>
      <c r="C26" s="19">
        <v>0.0</v>
      </c>
      <c r="D26" s="19">
        <v>0.0</v>
      </c>
      <c r="E26" s="19"/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6">
        <f>C26*PV_UPDATE+D26*PV_DEPLOY+E26*PV_HELP+F26*PV_BLOG+G26*PV_PR+H26*PV_BUILDNIGHT+I26*PV_MENTOR+J26*PV_DEMO</f>
        <v>0</v>
      </c>
    </row>
    <row r="27" ht="15.75" customHeight="1">
      <c r="A27" s="7" t="s">
        <v>132</v>
      </c>
      <c r="B27" s="7" t="s">
        <v>133</v>
      </c>
      <c r="C27" s="19">
        <v>0.0</v>
      </c>
      <c r="D27" s="19">
        <v>0.0</v>
      </c>
      <c r="E27" s="19"/>
      <c r="F27" s="19">
        <v>0.0</v>
      </c>
      <c r="G27" s="19">
        <v>0.0</v>
      </c>
      <c r="H27" s="19">
        <v>0.0</v>
      </c>
      <c r="I27" s="19">
        <v>0.0</v>
      </c>
      <c r="J27" s="19">
        <v>0.0</v>
      </c>
      <c r="K27" s="6">
        <f>C27*PV_UPDATE+D27*PV_DEPLOY+E27*PV_HELP+F27*PV_BLOG+G27*PV_PR+H27*PV_BUILDNIGHT+I27*PV_MENTOR+J27*PV_DEMO</f>
        <v>0</v>
      </c>
    </row>
    <row r="28" ht="15.75" customHeight="1">
      <c r="A28" s="7" t="s">
        <v>134</v>
      </c>
      <c r="B28" s="7" t="s">
        <v>135</v>
      </c>
      <c r="C28" s="19">
        <v>0.0</v>
      </c>
      <c r="D28" s="19">
        <v>0.0</v>
      </c>
      <c r="E28" s="19"/>
      <c r="F28" s="19">
        <v>0.0</v>
      </c>
      <c r="G28" s="19">
        <v>0.0</v>
      </c>
      <c r="H28" s="19">
        <v>0.0</v>
      </c>
      <c r="I28" s="19">
        <v>0.0</v>
      </c>
      <c r="J28" s="19">
        <v>0.0</v>
      </c>
      <c r="K28" s="6">
        <f>C28*PV_UPDATE+D28*PV_DEPLOY+E28*PV_HELP+F28*PV_BLOG+G28*PV_PR+H28*PV_BUILDNIGHT+I28*PV_MENTOR+J28*PV_DEMO</f>
        <v>0</v>
      </c>
    </row>
    <row r="29" ht="15.75" customHeight="1">
      <c r="A29" s="7" t="s">
        <v>136</v>
      </c>
      <c r="B29" s="7" t="s">
        <v>137</v>
      </c>
      <c r="C29" s="19">
        <v>0.0</v>
      </c>
      <c r="D29" s="19">
        <v>0.0</v>
      </c>
      <c r="E29" s="19"/>
      <c r="F29" s="19">
        <v>0.0</v>
      </c>
      <c r="G29" s="19">
        <v>0.0</v>
      </c>
      <c r="H29" s="19">
        <v>0.0</v>
      </c>
      <c r="I29" s="19">
        <v>0.0</v>
      </c>
      <c r="J29" s="19">
        <v>0.0</v>
      </c>
      <c r="K29" s="6">
        <f>C29*PV_UPDATE+D29*PV_DEPLOY+E29*PV_HELP+F29*PV_BLOG+G29*PV_PR+H29*PV_BUILDNIGHT+I29*PV_MENTOR+J29*PV_DEMO</f>
        <v>0</v>
      </c>
    </row>
    <row r="30" ht="15.75" customHeight="1">
      <c r="A30" s="7" t="s">
        <v>138</v>
      </c>
      <c r="B30" s="7" t="s">
        <v>139</v>
      </c>
      <c r="C30" s="18">
        <v>1.0</v>
      </c>
      <c r="D30" s="18">
        <v>1.0</v>
      </c>
      <c r="E30" s="19"/>
      <c r="F30" s="18">
        <v>1.0</v>
      </c>
      <c r="G30" s="19">
        <v>0.0</v>
      </c>
      <c r="H30" s="19">
        <v>0.0</v>
      </c>
      <c r="I30" s="19">
        <v>0.0</v>
      </c>
      <c r="J30" s="19">
        <v>0.0</v>
      </c>
      <c r="K30" s="6">
        <f>C30*PV_UPDATE+D30*PV_DEPLOY+E30*PV_HELP+F30*PV_BLOG+G30*PV_PR+H30*PV_BUILDNIGHT+I30*PV_MENTOR+J30*PV_DEMO</f>
        <v>45</v>
      </c>
    </row>
    <row r="31" ht="15.75" customHeight="1">
      <c r="A31" s="7" t="s">
        <v>140</v>
      </c>
      <c r="B31" s="7" t="s">
        <v>141</v>
      </c>
      <c r="C31" s="19">
        <v>0.0</v>
      </c>
      <c r="D31" s="19">
        <v>0.0</v>
      </c>
      <c r="E31" s="19"/>
      <c r="F31" s="19">
        <v>0.0</v>
      </c>
      <c r="G31" s="19">
        <v>0.0</v>
      </c>
      <c r="H31" s="19">
        <v>0.0</v>
      </c>
      <c r="I31" s="19">
        <v>0.0</v>
      </c>
      <c r="J31" s="19">
        <v>0.0</v>
      </c>
      <c r="K31" s="6">
        <f>C31*PV_UPDATE+D31*PV_DEPLOY+E31*PV_HELP+F31*PV_BLOG+G31*PV_PR+H31*PV_BUILDNIGHT+I31*PV_MENTOR+J31*PV_DEMO</f>
        <v>0</v>
      </c>
    </row>
    <row r="32" ht="15.75" customHeight="1">
      <c r="A32" s="7" t="s">
        <v>142</v>
      </c>
      <c r="B32" s="7" t="s">
        <v>143</v>
      </c>
      <c r="C32" s="19">
        <v>0.0</v>
      </c>
      <c r="D32" s="19">
        <v>0.0</v>
      </c>
      <c r="E32" s="19"/>
      <c r="F32" s="19">
        <v>0.0</v>
      </c>
      <c r="G32" s="19">
        <v>0.0</v>
      </c>
      <c r="H32" s="19">
        <v>0.0</v>
      </c>
      <c r="I32" s="19">
        <v>0.0</v>
      </c>
      <c r="J32" s="19">
        <v>0.0</v>
      </c>
      <c r="K32" s="6">
        <f>C32*PV_UPDATE+D32*PV_DEPLOY+E32*PV_HELP+F32*PV_BLOG+G32*PV_PR+H32*PV_BUILDNIGHT+I32*PV_MENTOR+J32*PV_DEMO</f>
        <v>0</v>
      </c>
    </row>
    <row r="33" ht="15.75" customHeight="1">
      <c r="A33" s="7" t="s">
        <v>144</v>
      </c>
      <c r="B33" s="7" t="s">
        <v>145</v>
      </c>
      <c r="C33" s="19">
        <v>0.0</v>
      </c>
      <c r="D33" s="19">
        <v>0.0</v>
      </c>
      <c r="E33" s="19"/>
      <c r="F33" s="19">
        <v>0.0</v>
      </c>
      <c r="G33" s="19">
        <v>0.0</v>
      </c>
      <c r="H33" s="19">
        <v>0.0</v>
      </c>
      <c r="I33" s="19">
        <v>0.0</v>
      </c>
      <c r="J33" s="19">
        <v>0.0</v>
      </c>
      <c r="K33" s="6">
        <f>C33*PV_UPDATE+D33*PV_DEPLOY+E33*PV_HELP+F33*PV_BLOG+G33*PV_PR+H33*PV_BUILDNIGHT+I33*PV_MENTOR+J33*PV_DEMO</f>
        <v>0</v>
      </c>
    </row>
    <row r="34" ht="15.75" customHeight="1">
      <c r="A34" s="7" t="s">
        <v>146</v>
      </c>
      <c r="B34" s="7" t="s">
        <v>147</v>
      </c>
      <c r="C34" s="19">
        <v>0.0</v>
      </c>
      <c r="D34" s="19">
        <v>0.0</v>
      </c>
      <c r="E34" s="19"/>
      <c r="F34" s="19">
        <v>0.0</v>
      </c>
      <c r="G34" s="19">
        <v>0.0</v>
      </c>
      <c r="H34" s="19">
        <v>0.0</v>
      </c>
      <c r="I34" s="19">
        <v>0.0</v>
      </c>
      <c r="J34" s="19">
        <v>0.0</v>
      </c>
      <c r="K34" s="6">
        <f>C34*PV_UPDATE+D34*PV_DEPLOY+E34*PV_HELP+F34*PV_BLOG+G34*PV_PR+H34*PV_BUILDNIGHT+I34*PV_MENTOR+J34*PV_DEMO</f>
        <v>0</v>
      </c>
    </row>
    <row r="35" ht="15.75" customHeight="1">
      <c r="A35" s="7" t="s">
        <v>148</v>
      </c>
      <c r="B35" s="7" t="s">
        <v>149</v>
      </c>
      <c r="C35" s="19">
        <v>0.0</v>
      </c>
      <c r="D35" s="19">
        <v>0.0</v>
      </c>
      <c r="E35" s="19"/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6">
        <f>C35*PV_UPDATE+D35*PV_DEPLOY+E35*PV_HELP+F35*PV_BLOG+G35*PV_PR+H35*PV_BUILDNIGHT+I35*PV_MENTOR+J35*PV_DEMO</f>
        <v>0</v>
      </c>
    </row>
    <row r="36" ht="15.75" customHeight="1">
      <c r="A36" s="7" t="s">
        <v>150</v>
      </c>
      <c r="B36" s="7" t="s">
        <v>151</v>
      </c>
      <c r="C36" s="19">
        <v>0.0</v>
      </c>
      <c r="D36" s="19">
        <v>0.0</v>
      </c>
      <c r="E36" s="19"/>
      <c r="F36" s="19">
        <v>0.0</v>
      </c>
      <c r="G36" s="19">
        <v>0.0</v>
      </c>
      <c r="H36" s="19">
        <v>0.0</v>
      </c>
      <c r="I36" s="19">
        <v>0.0</v>
      </c>
      <c r="J36" s="19">
        <v>0.0</v>
      </c>
      <c r="K36" s="6">
        <f>C36*PV_UPDATE+D36*PV_DEPLOY+E36*PV_HELP+F36*PV_BLOG+G36*PV_PR+H36*PV_BUILDNIGHT+I36*PV_MENTOR+J36*PV_DEMO</f>
        <v>0</v>
      </c>
    </row>
    <row r="37" ht="15.75" customHeight="1">
      <c r="A37" s="7" t="s">
        <v>152</v>
      </c>
      <c r="B37" s="7" t="s">
        <v>153</v>
      </c>
      <c r="C37" s="19">
        <v>0.0</v>
      </c>
      <c r="D37" s="19">
        <v>0.0</v>
      </c>
      <c r="E37" s="19"/>
      <c r="F37" s="19">
        <v>0.0</v>
      </c>
      <c r="G37" s="19">
        <v>0.0</v>
      </c>
      <c r="H37" s="19">
        <v>0.0</v>
      </c>
      <c r="I37" s="19">
        <v>0.0</v>
      </c>
      <c r="J37" s="19">
        <v>0.0</v>
      </c>
      <c r="K37" s="6">
        <f>C37*PV_UPDATE+D37*PV_DEPLOY+E37*PV_HELP+F37*PV_BLOG+G37*PV_PR+H37*PV_BUILDNIGHT+I37*PV_MENTOR+J37*PV_DEMO</f>
        <v>0</v>
      </c>
    </row>
    <row r="38" ht="15.75" customHeight="1">
      <c r="A38" s="7" t="s">
        <v>154</v>
      </c>
      <c r="B38" s="7" t="s">
        <v>155</v>
      </c>
      <c r="C38" s="19">
        <v>0.0</v>
      </c>
      <c r="D38" s="19">
        <v>0.0</v>
      </c>
      <c r="E38" s="19"/>
      <c r="F38" s="19">
        <v>0.0</v>
      </c>
      <c r="G38" s="19">
        <v>0.0</v>
      </c>
      <c r="H38" s="19">
        <v>0.0</v>
      </c>
      <c r="I38" s="19">
        <v>0.0</v>
      </c>
      <c r="J38" s="19">
        <v>0.0</v>
      </c>
      <c r="K38" s="6">
        <f>C38*PV_UPDATE+D38*PV_DEPLOY+E38*PV_HELP+F38*PV_BLOG+G38*PV_PR+H38*PV_BUILDNIGHT+I38*PV_MENTOR+J38*PV_DEMO</f>
        <v>0</v>
      </c>
    </row>
    <row r="39" ht="15.75" customHeight="1">
      <c r="A39" s="7" t="s">
        <v>156</v>
      </c>
      <c r="B39" s="7" t="s">
        <v>157</v>
      </c>
      <c r="C39" s="18">
        <v>1.0</v>
      </c>
      <c r="D39" s="19">
        <v>0.0</v>
      </c>
      <c r="E39" s="19"/>
      <c r="F39" s="18">
        <v>1.0</v>
      </c>
      <c r="G39" s="19">
        <v>0.0</v>
      </c>
      <c r="H39" s="19">
        <v>0.0</v>
      </c>
      <c r="I39" s="19">
        <v>0.0</v>
      </c>
      <c r="J39" s="19">
        <v>0.0</v>
      </c>
      <c r="K39" s="6">
        <f>C39*PV_UPDATE+D39*PV_DEPLOY+E39*PV_HELP+F39*PV_BLOG+G39*PV_PR+H39*PV_BUILDNIGHT+I39*PV_MENTOR+J39*PV_DEMO</f>
        <v>30</v>
      </c>
    </row>
    <row r="40" ht="15.75" customHeight="1">
      <c r="A40" s="7" t="s">
        <v>158</v>
      </c>
      <c r="B40" s="7" t="s">
        <v>159</v>
      </c>
      <c r="C40" s="19">
        <v>0.0</v>
      </c>
      <c r="D40" s="19">
        <v>0.0</v>
      </c>
      <c r="E40" s="19"/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6">
        <f>C40*PV_UPDATE+D40*PV_DEPLOY+E40*PV_HELP+F40*PV_BLOG+G40*PV_PR+H40*PV_BUILDNIGHT+I40*PV_MENTOR+J40*PV_DEMO</f>
        <v>0</v>
      </c>
    </row>
    <row r="41" ht="15.75" customHeight="1">
      <c r="A41" s="7" t="s">
        <v>160</v>
      </c>
      <c r="B41" s="7" t="s">
        <v>161</v>
      </c>
      <c r="C41" s="19">
        <v>0.0</v>
      </c>
      <c r="D41" s="19">
        <v>0.0</v>
      </c>
      <c r="E41" s="19"/>
      <c r="F41" s="19">
        <v>0.0</v>
      </c>
      <c r="G41" s="19">
        <v>0.0</v>
      </c>
      <c r="H41" s="19">
        <v>0.0</v>
      </c>
      <c r="I41" s="19">
        <v>0.0</v>
      </c>
      <c r="J41" s="19">
        <v>0.0</v>
      </c>
      <c r="K41" s="6">
        <f>C41*PV_UPDATE+D41*PV_DEPLOY+E41*PV_HELP+F41*PV_BLOG+G41*PV_PR+H41*PV_BUILDNIGHT+I41*PV_MENTOR+J41*PV_DEMO</f>
        <v>0</v>
      </c>
    </row>
    <row r="42" ht="15.75" customHeight="1">
      <c r="A42" s="7" t="s">
        <v>162</v>
      </c>
      <c r="B42" s="7" t="s">
        <v>163</v>
      </c>
      <c r="C42" s="19">
        <v>0.0</v>
      </c>
      <c r="D42" s="19">
        <v>0.0</v>
      </c>
      <c r="E42" s="19"/>
      <c r="F42" s="19">
        <v>0.0</v>
      </c>
      <c r="G42" s="19">
        <v>0.0</v>
      </c>
      <c r="H42" s="19">
        <v>0.0</v>
      </c>
      <c r="I42" s="19">
        <v>0.0</v>
      </c>
      <c r="J42" s="19">
        <v>0.0</v>
      </c>
      <c r="K42" s="6">
        <f>C42*PV_UPDATE+D42*PV_DEPLOY+E42*PV_HELP+F42*PV_BLOG+G42*PV_PR+H42*PV_BUILDNIGHT+I42*PV_MENTOR+J42*PV_DEMO</f>
        <v>0</v>
      </c>
    </row>
    <row r="43" ht="15.75" customHeight="1">
      <c r="A43" s="7" t="s">
        <v>164</v>
      </c>
      <c r="B43" s="7" t="s">
        <v>165</v>
      </c>
      <c r="C43" s="18">
        <v>1.0</v>
      </c>
      <c r="D43" s="18">
        <v>1.0</v>
      </c>
      <c r="E43" s="19"/>
      <c r="F43" s="18">
        <v>1.0</v>
      </c>
      <c r="G43" s="19">
        <v>0.0</v>
      </c>
      <c r="H43" s="19">
        <v>0.0</v>
      </c>
      <c r="I43" s="19">
        <v>0.0</v>
      </c>
      <c r="J43" s="19">
        <v>0.0</v>
      </c>
      <c r="K43" s="6">
        <f>C43*PV_UPDATE+D43*PV_DEPLOY+E43*PV_HELP+F43*PV_BLOG+G43*PV_PR+H43*PV_BUILDNIGHT+I43*PV_MENTOR+J43*PV_DEMO</f>
        <v>45</v>
      </c>
    </row>
    <row r="44" ht="15.75" customHeight="1">
      <c r="A44" s="7" t="s">
        <v>167</v>
      </c>
      <c r="B44" s="7" t="s">
        <v>168</v>
      </c>
      <c r="C44" s="19">
        <v>0.0</v>
      </c>
      <c r="D44" s="19">
        <v>0.0</v>
      </c>
      <c r="E44" s="19"/>
      <c r="F44" s="19">
        <v>0.0</v>
      </c>
      <c r="G44" s="19">
        <v>0.0</v>
      </c>
      <c r="H44" s="19">
        <v>0.0</v>
      </c>
      <c r="I44" s="19">
        <v>0.0</v>
      </c>
      <c r="J44" s="19">
        <v>0.0</v>
      </c>
      <c r="K44" s="6">
        <f>C44*PV_UPDATE+D44*PV_DEPLOY+E44*PV_HELP+F44*PV_BLOG+G44*PV_PR+H44*PV_BUILDNIGHT+I44*PV_MENTOR+J44*PV_DEMO</f>
        <v>0</v>
      </c>
    </row>
    <row r="45" ht="15.75" customHeight="1">
      <c r="A45" s="7" t="s">
        <v>169</v>
      </c>
      <c r="B45" s="7" t="s">
        <v>170</v>
      </c>
      <c r="C45" s="19">
        <v>0.0</v>
      </c>
      <c r="D45" s="19">
        <v>0.0</v>
      </c>
      <c r="E45" s="19"/>
      <c r="F45" s="19">
        <v>0.0</v>
      </c>
      <c r="G45" s="19">
        <v>0.0</v>
      </c>
      <c r="H45" s="19">
        <v>0.0</v>
      </c>
      <c r="I45" s="19">
        <v>0.0</v>
      </c>
      <c r="J45" s="19">
        <v>0.0</v>
      </c>
      <c r="K45" s="6">
        <f>C45*PV_UPDATE+D45*PV_DEPLOY+E45*PV_HELP+F45*PV_BLOG+G45*PV_PR+H45*PV_BUILDNIGHT+I45*PV_MENTOR+J45*PV_DEMO</f>
        <v>0</v>
      </c>
    </row>
    <row r="46" ht="15.75" customHeight="1">
      <c r="A46" s="7" t="s">
        <v>171</v>
      </c>
      <c r="B46" s="7" t="s">
        <v>172</v>
      </c>
      <c r="C46" s="19">
        <v>0.0</v>
      </c>
      <c r="D46" s="19">
        <v>0.0</v>
      </c>
      <c r="E46" s="19"/>
      <c r="F46" s="19">
        <v>0.0</v>
      </c>
      <c r="G46" s="19">
        <v>0.0</v>
      </c>
      <c r="H46" s="19">
        <v>0.0</v>
      </c>
      <c r="I46" s="19">
        <v>0.0</v>
      </c>
      <c r="J46" s="19">
        <v>0.0</v>
      </c>
      <c r="K46" s="6">
        <f>C46*PV_UPDATE+D46*PV_DEPLOY+E46*PV_HELP+F46*PV_BLOG+G46*PV_PR+H46*PV_BUILDNIGHT+I46*PV_MENTOR+J46*PV_DEMO</f>
        <v>0</v>
      </c>
    </row>
    <row r="47" ht="15.75" customHeight="1">
      <c r="A47" s="7" t="s">
        <v>173</v>
      </c>
      <c r="B47" s="7" t="s">
        <v>174</v>
      </c>
      <c r="C47" s="18">
        <v>1.0</v>
      </c>
      <c r="D47" s="18">
        <v>1.0</v>
      </c>
      <c r="E47" s="18"/>
      <c r="F47" s="18">
        <v>1.0</v>
      </c>
      <c r="G47" s="19">
        <v>0.0</v>
      </c>
      <c r="H47" s="19">
        <v>0.0</v>
      </c>
      <c r="I47" s="19">
        <v>0.0</v>
      </c>
      <c r="J47" s="19">
        <v>0.0</v>
      </c>
      <c r="K47" s="6">
        <f>C47*PV_UPDATE+D47*PV_DEPLOY+E47*PV_HELP+F47*PV_BLOG+G47*PV_PR+H47*PV_BUILDNIGHT+I47*PV_MENTOR+J47*PV_DEMO</f>
        <v>45</v>
      </c>
    </row>
    <row r="48" ht="15.75" customHeight="1">
      <c r="A48" s="7" t="s">
        <v>175</v>
      </c>
      <c r="B48" s="7" t="s">
        <v>176</v>
      </c>
      <c r="C48" s="19">
        <v>0.0</v>
      </c>
      <c r="D48" s="19">
        <v>0.0</v>
      </c>
      <c r="E48" s="19"/>
      <c r="F48" s="21">
        <v>0.0</v>
      </c>
      <c r="G48" s="19">
        <v>0.0</v>
      </c>
      <c r="H48" s="19">
        <v>0.0</v>
      </c>
      <c r="I48" s="19">
        <v>0.0</v>
      </c>
      <c r="J48" s="19">
        <v>0.0</v>
      </c>
      <c r="K48" s="6">
        <f>C48*PV_UPDATE+D48*PV_DEPLOY+E48*PV_HELP+F48*PV_BLOG+G48*PV_PR+H48*PV_BUILDNIGHT+I48*PV_MENTOR+J48*PV_DEMO</f>
        <v>0</v>
      </c>
    </row>
    <row r="49" ht="15.75" customHeight="1">
      <c r="A49" s="7" t="s">
        <v>177</v>
      </c>
      <c r="B49" s="7" t="s">
        <v>178</v>
      </c>
      <c r="C49" s="19">
        <v>0.0</v>
      </c>
      <c r="D49" s="19">
        <v>0.0</v>
      </c>
      <c r="E49" s="19"/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6">
        <f>C49*PV_UPDATE+D49*PV_DEPLOY+E49*PV_HELP+F49*PV_BLOG+G49*PV_PR+H49*PV_BUILDNIGHT+I49*PV_MENTOR+J49*PV_DEMO</f>
        <v>0</v>
      </c>
    </row>
    <row r="50" ht="15.75" customHeight="1">
      <c r="A50" s="7" t="s">
        <v>179</v>
      </c>
      <c r="B50" s="7" t="s">
        <v>180</v>
      </c>
      <c r="C50" s="19">
        <v>0.0</v>
      </c>
      <c r="D50" s="19">
        <v>0.0</v>
      </c>
      <c r="E50" s="19"/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6">
        <f>C50*PV_UPDATE+D50*PV_DEPLOY+E50*PV_HELP+F50*PV_BLOG+G50*PV_PR+H50*PV_BUILDNIGHT+I50*PV_MENTOR+J50*PV_DEMO</f>
        <v>0</v>
      </c>
    </row>
    <row r="51" ht="15.75" customHeight="1">
      <c r="A51" s="7" t="s">
        <v>181</v>
      </c>
      <c r="B51" s="7" t="s">
        <v>182</v>
      </c>
      <c r="C51" s="19">
        <v>0.0</v>
      </c>
      <c r="D51" s="19">
        <v>0.0</v>
      </c>
      <c r="E51" s="19"/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6">
        <f>C51*PV_UPDATE+D51*PV_DEPLOY+E51*PV_HELP+F51*PV_BLOG+G51*PV_PR+H51*PV_BUILDNIGHT+I51*PV_MENTOR+J51*PV_DEMO</f>
        <v>0</v>
      </c>
    </row>
    <row r="52" ht="15.75" customHeight="1">
      <c r="A52" s="7" t="s">
        <v>183</v>
      </c>
      <c r="B52" s="7" t="s">
        <v>184</v>
      </c>
      <c r="C52" s="19">
        <v>0.0</v>
      </c>
      <c r="D52" s="19">
        <v>0.0</v>
      </c>
      <c r="E52" s="19"/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6">
        <f>C52*PV_UPDATE+D52*PV_DEPLOY+E52*PV_HELP+F52*PV_BLOG+G52*PV_PR+H52*PV_BUILDNIGHT+I52*PV_MENTOR+J52*PV_DEMO</f>
        <v>0</v>
      </c>
    </row>
    <row r="53" ht="15.75" customHeight="1">
      <c r="A53" s="7" t="s">
        <v>185</v>
      </c>
      <c r="B53" s="7" t="s">
        <v>186</v>
      </c>
      <c r="C53" s="18">
        <v>1.0</v>
      </c>
      <c r="D53" s="18">
        <v>1.0</v>
      </c>
      <c r="E53" s="19"/>
      <c r="F53" s="18">
        <v>2.0</v>
      </c>
      <c r="G53" s="19">
        <v>0.0</v>
      </c>
      <c r="H53" s="19">
        <v>0.0</v>
      </c>
      <c r="I53" s="19">
        <v>0.0</v>
      </c>
      <c r="J53" s="19">
        <v>0.0</v>
      </c>
      <c r="K53" s="6">
        <f>C53*PV_UPDATE+D53*PV_DEPLOY+E53*PV_HELP+F53*PV_BLOG+G53*PV_PR+H53*PV_BUILDNIGHT+I53*PV_MENTOR+J53*PV_DEMO</f>
        <v>65</v>
      </c>
    </row>
    <row r="54" ht="15.75" customHeight="1">
      <c r="A54" s="7" t="s">
        <v>187</v>
      </c>
      <c r="B54" s="7" t="s">
        <v>188</v>
      </c>
      <c r="C54" s="18">
        <v>1.0</v>
      </c>
      <c r="D54" s="18">
        <v>1.0</v>
      </c>
      <c r="E54" s="18"/>
      <c r="F54" s="18">
        <v>1.0</v>
      </c>
      <c r="G54" s="19">
        <v>0.0</v>
      </c>
      <c r="H54" s="19">
        <v>0.0</v>
      </c>
      <c r="I54" s="19">
        <v>0.0</v>
      </c>
      <c r="J54" s="19">
        <v>0.0</v>
      </c>
      <c r="K54" s="6">
        <f>C54*PV_UPDATE+D54*PV_DEPLOY+E54*PV_HELP+F54*PV_BLOG+G54*PV_PR+H54*PV_BUILDNIGHT+I54*PV_MENTOR+J54*PV_DEMO</f>
        <v>45</v>
      </c>
    </row>
    <row r="55" ht="15.75" customHeight="1">
      <c r="A55" s="7" t="s">
        <v>189</v>
      </c>
      <c r="B55" s="7" t="s">
        <v>190</v>
      </c>
      <c r="C55" s="19">
        <v>0.0</v>
      </c>
      <c r="D55" s="19">
        <v>0.0</v>
      </c>
      <c r="E55" s="19"/>
      <c r="F55" s="19">
        <v>0.0</v>
      </c>
      <c r="G55" s="19">
        <v>0.0</v>
      </c>
      <c r="H55" s="19">
        <v>0.0</v>
      </c>
      <c r="I55" s="19">
        <v>0.0</v>
      </c>
      <c r="J55" s="19">
        <v>0.0</v>
      </c>
      <c r="K55" s="6">
        <f>C55*PV_UPDATE+D55*PV_DEPLOY+E55*PV_HELP+F55*PV_BLOG+G55*PV_PR+H55*PV_BUILDNIGHT+I55*PV_MENTOR+J55*PV_DEMO</f>
        <v>0</v>
      </c>
    </row>
    <row r="56" ht="15.75" customHeight="1">
      <c r="A56" s="7" t="s">
        <v>191</v>
      </c>
      <c r="B56" s="7" t="s">
        <v>192</v>
      </c>
      <c r="C56" s="19">
        <v>0.0</v>
      </c>
      <c r="D56" s="19">
        <v>0.0</v>
      </c>
      <c r="E56" s="19"/>
      <c r="F56" s="19">
        <v>0.0</v>
      </c>
      <c r="G56" s="19">
        <v>0.0</v>
      </c>
      <c r="H56" s="19">
        <v>0.0</v>
      </c>
      <c r="I56" s="19">
        <v>0.0</v>
      </c>
      <c r="J56" s="19">
        <v>0.0</v>
      </c>
      <c r="K56" s="6">
        <f>C56*PV_UPDATE+D56*PV_DEPLOY+E56*PV_HELP+F56*PV_BLOG+G56*PV_PR+H56*PV_BUILDNIGHT+I56*PV_MENTOR+J56*PV_DEMO</f>
        <v>0</v>
      </c>
    </row>
    <row r="57" ht="15.75" customHeight="1">
      <c r="A57" s="7" t="s">
        <v>193</v>
      </c>
      <c r="B57" s="7" t="s">
        <v>194</v>
      </c>
      <c r="C57" s="19">
        <v>0.0</v>
      </c>
      <c r="D57" s="19">
        <v>0.0</v>
      </c>
      <c r="E57" s="19"/>
      <c r="F57" s="19">
        <v>0.0</v>
      </c>
      <c r="G57" s="19">
        <v>0.0</v>
      </c>
      <c r="H57" s="19">
        <v>0.0</v>
      </c>
      <c r="I57" s="19">
        <v>0.0</v>
      </c>
      <c r="J57" s="19">
        <v>0.0</v>
      </c>
      <c r="K57" s="6">
        <f>C57*PV_UPDATE+D57*PV_DEPLOY+E57*PV_HELP+F57*PV_BLOG+G57*PV_PR+H57*PV_BUILDNIGHT+I57*PV_MENTOR+J57*PV_DEMO</f>
        <v>0</v>
      </c>
    </row>
    <row r="58" ht="15.75" customHeight="1">
      <c r="A58" s="7" t="s">
        <v>195</v>
      </c>
      <c r="B58" s="7" t="s">
        <v>196</v>
      </c>
      <c r="C58" s="19">
        <v>0.0</v>
      </c>
      <c r="D58" s="19">
        <v>0.0</v>
      </c>
      <c r="E58" s="19"/>
      <c r="F58" s="19">
        <v>0.0</v>
      </c>
      <c r="G58" s="19">
        <v>0.0</v>
      </c>
      <c r="H58" s="19">
        <v>0.0</v>
      </c>
      <c r="I58" s="19">
        <v>0.0</v>
      </c>
      <c r="J58" s="19">
        <v>0.0</v>
      </c>
      <c r="K58" s="6">
        <f>C58*PV_UPDATE+D58*PV_DEPLOY+E58*PV_HELP+F58*PV_BLOG+G58*PV_PR+H58*PV_BUILDNIGHT+I58*PV_MENTOR+J58*PV_DEMO</f>
        <v>0</v>
      </c>
    </row>
    <row r="59" ht="15.75" customHeight="1">
      <c r="A59" s="7" t="s">
        <v>197</v>
      </c>
      <c r="B59" s="7" t="s">
        <v>198</v>
      </c>
      <c r="C59" s="19">
        <v>0.0</v>
      </c>
      <c r="D59" s="19">
        <v>0.0</v>
      </c>
      <c r="E59" s="19"/>
      <c r="F59" s="19">
        <v>0.0</v>
      </c>
      <c r="G59" s="19">
        <v>0.0</v>
      </c>
      <c r="H59" s="19">
        <v>0.0</v>
      </c>
      <c r="I59" s="19">
        <v>0.0</v>
      </c>
      <c r="J59" s="19">
        <v>0.0</v>
      </c>
      <c r="K59" s="6">
        <f>C59*PV_UPDATE+D59*PV_DEPLOY+E59*PV_HELP+F59*PV_BLOG+G59*PV_PR+H59*PV_BUILDNIGHT+I59*PV_MENTOR+J59*PV_DEMO</f>
        <v>0</v>
      </c>
    </row>
    <row r="60" ht="15.75" customHeight="1">
      <c r="A60" s="7" t="s">
        <v>199</v>
      </c>
      <c r="B60" s="7" t="s">
        <v>200</v>
      </c>
      <c r="C60" s="19">
        <v>0.0</v>
      </c>
      <c r="D60" s="19">
        <v>0.0</v>
      </c>
      <c r="E60" s="19"/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6">
        <f>C60*PV_UPDATE+D60*PV_DEPLOY+E60*PV_HELP+F60*PV_BLOG+G60*PV_PR+H60*PV_BUILDNIGHT+I60*PV_MENTOR+J60*PV_DEMO</f>
        <v>0</v>
      </c>
    </row>
    <row r="61" ht="15.75" customHeight="1">
      <c r="A61" s="7" t="s">
        <v>201</v>
      </c>
      <c r="B61" s="7" t="s">
        <v>202</v>
      </c>
      <c r="C61" s="19">
        <v>0.0</v>
      </c>
      <c r="D61" s="19">
        <v>0.0</v>
      </c>
      <c r="E61" s="19"/>
      <c r="F61" s="19">
        <v>0.0</v>
      </c>
      <c r="G61" s="19">
        <v>0.0</v>
      </c>
      <c r="H61" s="19">
        <v>0.0</v>
      </c>
      <c r="I61" s="19">
        <v>0.0</v>
      </c>
      <c r="J61" s="19">
        <v>0.0</v>
      </c>
      <c r="K61" s="6">
        <f>C61*PV_UPDATE+D61*PV_DEPLOY+E61*PV_HELP+F61*PV_BLOG+G61*PV_PR+H61*PV_BUILDNIGHT+I61*PV_MENTOR+J61*PV_DEMO</f>
        <v>0</v>
      </c>
    </row>
    <row r="62" ht="15.75" customHeight="1">
      <c r="A62" s="7" t="s">
        <v>203</v>
      </c>
      <c r="B62" s="7" t="s">
        <v>204</v>
      </c>
      <c r="C62" s="19">
        <v>0.0</v>
      </c>
      <c r="D62" s="19">
        <v>0.0</v>
      </c>
      <c r="E62" s="19"/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6">
        <f>C62*PV_UPDATE+D62*PV_DEPLOY+E62*PV_HELP+F62*PV_BLOG+G62*PV_PR+H62*PV_BUILDNIGHT+I62*PV_MENTOR+J62*PV_DEMO</f>
        <v>0</v>
      </c>
    </row>
    <row r="63" ht="15.75" customHeight="1">
      <c r="A63" s="7" t="s">
        <v>205</v>
      </c>
      <c r="B63" s="7" t="s">
        <v>206</v>
      </c>
      <c r="C63" s="19">
        <v>0.0</v>
      </c>
      <c r="D63" s="19">
        <v>0.0</v>
      </c>
      <c r="E63" s="19"/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6">
        <f>C63*PV_UPDATE+D63*PV_DEPLOY+E63*PV_HELP+F63*PV_BLOG+G63*PV_PR+H63*PV_BUILDNIGHT+I63*PV_MENTOR+J63*PV_DEMO</f>
        <v>0</v>
      </c>
    </row>
    <row r="64" ht="15.75" customHeight="1">
      <c r="A64" s="7" t="s">
        <v>207</v>
      </c>
      <c r="B64" s="7" t="s">
        <v>208</v>
      </c>
      <c r="C64" s="19">
        <v>0.0</v>
      </c>
      <c r="D64" s="19">
        <v>0.0</v>
      </c>
      <c r="E64" s="19"/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6">
        <f>C64*PV_UPDATE+D64*PV_DEPLOY+E64*PV_HELP+F64*PV_BLOG+G64*PV_PR+H64*PV_BUILDNIGHT+I64*PV_MENTOR+J64*PV_DEMO</f>
        <v>0</v>
      </c>
    </row>
    <row r="65" ht="15.75" customHeight="1">
      <c r="A65" s="7" t="s">
        <v>209</v>
      </c>
      <c r="B65" s="7" t="s">
        <v>210</v>
      </c>
      <c r="C65" s="18">
        <v>1.0</v>
      </c>
      <c r="D65" s="19">
        <v>0.0</v>
      </c>
      <c r="E65" s="19"/>
      <c r="F65" s="19">
        <v>0.0</v>
      </c>
      <c r="G65" s="19">
        <v>0.0</v>
      </c>
      <c r="H65" s="19">
        <v>0.0</v>
      </c>
      <c r="I65" s="19">
        <v>0.0</v>
      </c>
      <c r="J65" s="19">
        <v>0.0</v>
      </c>
      <c r="K65" s="6">
        <f>C65*PV_UPDATE+D65*PV_DEPLOY+E65*PV_HELP+F65*PV_BLOG+G65*PV_PR+H65*PV_BUILDNIGHT+I65*PV_MENTOR+J65*PV_DEMO</f>
        <v>10</v>
      </c>
    </row>
    <row r="66" ht="15.75" customHeight="1">
      <c r="A66" s="7" t="s">
        <v>211</v>
      </c>
      <c r="B66" s="7" t="s">
        <v>212</v>
      </c>
      <c r="C66" s="19">
        <v>0.0</v>
      </c>
      <c r="D66" s="19">
        <v>0.0</v>
      </c>
      <c r="E66" s="19"/>
      <c r="F66" s="19">
        <v>0.0</v>
      </c>
      <c r="G66" s="19">
        <v>0.0</v>
      </c>
      <c r="H66" s="19">
        <v>0.0</v>
      </c>
      <c r="I66" s="19">
        <v>0.0</v>
      </c>
      <c r="J66" s="19">
        <v>0.0</v>
      </c>
      <c r="K66" s="6">
        <f>C66*PV_UPDATE+D66*PV_DEPLOY+E66*PV_HELP+F66*PV_BLOG+G66*PV_PR+H66*PV_BUILDNIGHT+I66*PV_MENTOR+J66*PV_DEMO</f>
        <v>0</v>
      </c>
    </row>
    <row r="67" ht="15.75" customHeight="1">
      <c r="A67" s="7" t="s">
        <v>213</v>
      </c>
      <c r="B67" s="7" t="s">
        <v>214</v>
      </c>
      <c r="C67" s="19">
        <v>0.0</v>
      </c>
      <c r="D67" s="19">
        <v>0.0</v>
      </c>
      <c r="E67" s="19"/>
      <c r="F67" s="19">
        <v>0.0</v>
      </c>
      <c r="G67" s="19">
        <v>0.0</v>
      </c>
      <c r="H67" s="19">
        <v>0.0</v>
      </c>
      <c r="I67" s="19">
        <v>0.0</v>
      </c>
      <c r="J67" s="19">
        <v>0.0</v>
      </c>
      <c r="K67" s="6">
        <f>C67*PV_UPDATE+D67*PV_DEPLOY+E67*PV_HELP+F67*PV_BLOG+G67*PV_PR+H67*PV_BUILDNIGHT+I67*PV_MENTOR+J67*PV_DEMO</f>
        <v>0</v>
      </c>
    </row>
    <row r="68" ht="15.75" customHeight="1">
      <c r="A68" s="7" t="s">
        <v>215</v>
      </c>
      <c r="B68" s="7" t="s">
        <v>216</v>
      </c>
      <c r="C68" s="18">
        <v>1.0</v>
      </c>
      <c r="D68" s="19">
        <v>0.0</v>
      </c>
      <c r="E68" s="19"/>
      <c r="F68" s="19">
        <v>0.0</v>
      </c>
      <c r="G68" s="19">
        <v>0.0</v>
      </c>
      <c r="H68" s="19">
        <v>0.0</v>
      </c>
      <c r="I68" s="19">
        <v>0.0</v>
      </c>
      <c r="J68" s="19">
        <v>0.0</v>
      </c>
      <c r="K68" s="6">
        <f>C68*PV_UPDATE+D68*PV_DEPLOY+E68*PV_HELP+F68*PV_BLOG+G68*PV_PR+H68*PV_BUILDNIGHT+I68*PV_MENTOR+J68*PV_DEMO</f>
        <v>10</v>
      </c>
    </row>
    <row r="69" ht="15.75" customHeight="1">
      <c r="A69" s="7" t="s">
        <v>217</v>
      </c>
      <c r="B69" s="7" t="s">
        <v>218</v>
      </c>
      <c r="C69" s="19">
        <v>0.0</v>
      </c>
      <c r="D69" s="19">
        <v>0.0</v>
      </c>
      <c r="E69" s="19"/>
      <c r="F69" s="19">
        <v>0.0</v>
      </c>
      <c r="G69" s="19">
        <v>0.0</v>
      </c>
      <c r="H69" s="19">
        <v>0.0</v>
      </c>
      <c r="I69" s="19">
        <v>0.0</v>
      </c>
      <c r="J69" s="19">
        <v>0.0</v>
      </c>
      <c r="K69" s="6">
        <f>C69*PV_UPDATE+D69*PV_DEPLOY+E69*PV_HELP+F69*PV_BLOG+G69*PV_PR+H69*PV_BUILDNIGHT+I69*PV_MENTOR+J69*PV_DEMO</f>
        <v>0</v>
      </c>
    </row>
    <row r="70" ht="15.75" customHeight="1">
      <c r="A70" s="7" t="s">
        <v>219</v>
      </c>
      <c r="B70" s="7" t="s">
        <v>220</v>
      </c>
      <c r="C70" s="19">
        <v>0.0</v>
      </c>
      <c r="D70" s="19">
        <v>0.0</v>
      </c>
      <c r="E70" s="19"/>
      <c r="F70" s="19">
        <v>0.0</v>
      </c>
      <c r="G70" s="19">
        <v>0.0</v>
      </c>
      <c r="H70" s="19">
        <v>0.0</v>
      </c>
      <c r="I70" s="19">
        <v>0.0</v>
      </c>
      <c r="J70" s="19">
        <v>0.0</v>
      </c>
      <c r="K70" s="6">
        <f>C70*PV_UPDATE+D70*PV_DEPLOY+E70*PV_HELP+F70*PV_BLOG+G70*PV_PR+H70*PV_BUILDNIGHT+I70*PV_MENTOR+J70*PV_DEMO</f>
        <v>0</v>
      </c>
    </row>
    <row r="71" ht="15.75" customHeight="1">
      <c r="A71" s="7" t="s">
        <v>221</v>
      </c>
      <c r="B71" s="7" t="s">
        <v>222</v>
      </c>
      <c r="C71" s="19">
        <v>0.0</v>
      </c>
      <c r="D71" s="19">
        <v>0.0</v>
      </c>
      <c r="E71" s="19"/>
      <c r="F71" s="19">
        <v>0.0</v>
      </c>
      <c r="G71" s="19">
        <v>0.0</v>
      </c>
      <c r="H71" s="19">
        <v>0.0</v>
      </c>
      <c r="I71" s="19">
        <v>0.0</v>
      </c>
      <c r="J71" s="19">
        <v>0.0</v>
      </c>
      <c r="K71" s="6">
        <f>C71*PV_UPDATE+D71*PV_DEPLOY+E71*PV_HELP+F71*PV_BLOG+G71*PV_PR+H71*PV_BUILDNIGHT+I71*PV_MENTOR+J71*PV_DEMO</f>
        <v>0</v>
      </c>
    </row>
    <row r="72" ht="15.75" customHeight="1">
      <c r="A72" s="7" t="s">
        <v>223</v>
      </c>
      <c r="B72" s="7" t="s">
        <v>224</v>
      </c>
      <c r="C72" s="18">
        <v>1.0</v>
      </c>
      <c r="D72" s="19">
        <v>0.0</v>
      </c>
      <c r="E72" s="19"/>
      <c r="F72" s="19">
        <v>0.0</v>
      </c>
      <c r="G72" s="19">
        <v>0.0</v>
      </c>
      <c r="H72" s="19">
        <v>0.0</v>
      </c>
      <c r="I72" s="19">
        <v>0.0</v>
      </c>
      <c r="J72" s="19">
        <v>0.0</v>
      </c>
      <c r="K72" s="6">
        <f>C72*PV_UPDATE+D72*PV_DEPLOY+E72*PV_HELP+F72*PV_BLOG+G72*PV_PR+H72*PV_BUILDNIGHT+I72*PV_MENTOR+J72*PV_DEMO</f>
        <v>10</v>
      </c>
    </row>
    <row r="73" ht="15.75" customHeight="1">
      <c r="A73" s="7" t="s">
        <v>225</v>
      </c>
      <c r="B73" s="7" t="s">
        <v>226</v>
      </c>
      <c r="C73" s="19">
        <v>0.0</v>
      </c>
      <c r="D73" s="19">
        <v>0.0</v>
      </c>
      <c r="E73" s="19"/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6">
        <f>C73*PV_UPDATE+D73*PV_DEPLOY+E73*PV_HELP+F73*PV_BLOG+G73*PV_PR+H73*PV_BUILDNIGHT+I73*PV_MENTOR+J73*PV_DEMO</f>
        <v>0</v>
      </c>
    </row>
    <row r="74" ht="15.75" customHeight="1">
      <c r="A74" s="7" t="s">
        <v>227</v>
      </c>
      <c r="B74" s="7" t="s">
        <v>228</v>
      </c>
      <c r="C74" s="19">
        <v>0.0</v>
      </c>
      <c r="D74" s="19">
        <v>0.0</v>
      </c>
      <c r="E74" s="19"/>
      <c r="F74" s="19">
        <v>0.0</v>
      </c>
      <c r="G74" s="19">
        <v>0.0</v>
      </c>
      <c r="H74" s="19">
        <v>0.0</v>
      </c>
      <c r="I74" s="19">
        <v>0.0</v>
      </c>
      <c r="J74" s="19">
        <v>0.0</v>
      </c>
      <c r="K74" s="6">
        <f>C74*PV_UPDATE+D74*PV_DEPLOY+E74*PV_HELP+F74*PV_BLOG+G74*PV_PR+H74*PV_BUILDNIGHT+I74*PV_MENTOR+J74*PV_DEMO</f>
        <v>0</v>
      </c>
    </row>
    <row r="75" ht="15.75" customHeight="1">
      <c r="A75" s="7" t="s">
        <v>229</v>
      </c>
      <c r="B75" s="17" t="s">
        <v>275</v>
      </c>
      <c r="C75" s="18">
        <v>1.0</v>
      </c>
      <c r="D75" s="18">
        <v>1.0</v>
      </c>
      <c r="E75" s="19"/>
      <c r="F75" s="18">
        <v>1.0</v>
      </c>
      <c r="G75" s="19">
        <v>0.0</v>
      </c>
      <c r="H75" s="19">
        <v>0.0</v>
      </c>
      <c r="I75" s="19">
        <v>0.0</v>
      </c>
      <c r="J75" s="19">
        <v>0.0</v>
      </c>
      <c r="K75" s="6">
        <f>C75*PV_UPDATE+D75*PV_DEPLOY+E75*PV_HELP+F75*PV_BLOG+G75*PV_PR+H75*PV_BUILDNIGHT+I75*PV_MENTOR+J75*PV_DEMO</f>
        <v>45</v>
      </c>
    </row>
    <row r="76" ht="15.75" customHeight="1">
      <c r="A76" s="7" t="s">
        <v>231</v>
      </c>
      <c r="B76" s="7" t="s">
        <v>232</v>
      </c>
      <c r="C76" s="19">
        <v>0.0</v>
      </c>
      <c r="D76" s="19">
        <v>0.0</v>
      </c>
      <c r="E76" s="19"/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6">
        <f>C76*PV_UPDATE+D76*PV_DEPLOY+E76*PV_HELP+F76*PV_BLOG+G76*PV_PR+H76*PV_BUILDNIGHT+I76*PV_MENTOR+J76*PV_DEMO</f>
        <v>0</v>
      </c>
    </row>
    <row r="77" ht="15.75" customHeight="1">
      <c r="A77" s="7" t="s">
        <v>233</v>
      </c>
      <c r="B77" s="7" t="s">
        <v>234</v>
      </c>
      <c r="C77" s="19">
        <v>0.0</v>
      </c>
      <c r="D77" s="19">
        <v>0.0</v>
      </c>
      <c r="E77" s="19"/>
      <c r="F77" s="19">
        <v>0.0</v>
      </c>
      <c r="G77" s="19">
        <v>0.0</v>
      </c>
      <c r="H77" s="19">
        <v>0.0</v>
      </c>
      <c r="I77" s="19">
        <v>0.0</v>
      </c>
      <c r="J77" s="19">
        <v>0.0</v>
      </c>
      <c r="K77" s="6">
        <f>C77*PV_UPDATE+D77*PV_DEPLOY+E77*PV_HELP+F77*PV_BLOG+G77*PV_PR+H77*PV_BUILDNIGHT+I77*PV_MENTOR+J77*PV_DEMO</f>
        <v>0</v>
      </c>
    </row>
    <row r="78" ht="15.75" customHeight="1">
      <c r="A78" s="7" t="s">
        <v>235</v>
      </c>
      <c r="B78" s="7" t="s">
        <v>236</v>
      </c>
      <c r="C78" s="18">
        <v>1.0</v>
      </c>
      <c r="D78" s="18">
        <v>1.0</v>
      </c>
      <c r="E78" s="19"/>
      <c r="F78" s="18">
        <v>2.0</v>
      </c>
      <c r="G78" s="19">
        <v>0.0</v>
      </c>
      <c r="H78" s="19">
        <v>0.0</v>
      </c>
      <c r="I78" s="19">
        <v>0.0</v>
      </c>
      <c r="J78" s="19">
        <v>0.0</v>
      </c>
      <c r="K78" s="6">
        <f>C78*PV_UPDATE+D78*PV_DEPLOY+E78*PV_HELP+F78*PV_BLOG+G78*PV_PR+H78*PV_BUILDNIGHT+I78*PV_MENTOR+J78*PV_DEMO</f>
        <v>65</v>
      </c>
    </row>
    <row r="79" ht="15.75" customHeight="1">
      <c r="A79" s="7" t="s">
        <v>237</v>
      </c>
      <c r="B79" s="7" t="s">
        <v>238</v>
      </c>
      <c r="C79" s="18">
        <v>1.0</v>
      </c>
      <c r="D79" s="18">
        <v>1.0</v>
      </c>
      <c r="E79" s="19"/>
      <c r="F79" s="17">
        <v>1.0</v>
      </c>
      <c r="G79" s="19">
        <v>0.0</v>
      </c>
      <c r="H79" s="19">
        <v>0.0</v>
      </c>
      <c r="I79" s="19">
        <v>0.0</v>
      </c>
      <c r="J79" s="19">
        <v>0.0</v>
      </c>
      <c r="K79" s="6">
        <f>C79*PV_UPDATE+D79*PV_DEPLOY+E79*PV_HELP+F79*PV_BLOG+G79*PV_PR+H79*PV_BUILDNIGHT+I79*PV_MENTOR+J79*PV_DEMO</f>
        <v>45</v>
      </c>
    </row>
    <row r="80" ht="15.75" customHeight="1">
      <c r="A80" s="7" t="s">
        <v>239</v>
      </c>
      <c r="B80" s="7" t="s">
        <v>240</v>
      </c>
      <c r="C80" s="19">
        <v>0.0</v>
      </c>
      <c r="D80" s="19">
        <v>0.0</v>
      </c>
      <c r="E80" s="19"/>
      <c r="F80" s="19">
        <v>0.0</v>
      </c>
      <c r="G80" s="19">
        <v>0.0</v>
      </c>
      <c r="H80" s="19">
        <v>0.0</v>
      </c>
      <c r="I80" s="19">
        <v>0.0</v>
      </c>
      <c r="J80" s="19">
        <v>0.0</v>
      </c>
      <c r="K80" s="6">
        <f>C80*PV_UPDATE+D80*PV_DEPLOY+E80*PV_HELP+F80*PV_BLOG+G80*PV_PR+H80*PV_BUILDNIGHT+I80*PV_MENTOR+J80*PV_DEMO</f>
        <v>0</v>
      </c>
    </row>
    <row r="81" ht="15.75" customHeight="1">
      <c r="A81" s="7" t="s">
        <v>241</v>
      </c>
      <c r="B81" s="7" t="s">
        <v>242</v>
      </c>
      <c r="C81" s="18">
        <v>1.0</v>
      </c>
      <c r="D81" s="18">
        <v>1.0</v>
      </c>
      <c r="E81" s="19"/>
      <c r="F81" s="18">
        <v>1.0</v>
      </c>
      <c r="G81" s="19">
        <v>0.0</v>
      </c>
      <c r="H81" s="19">
        <v>0.0</v>
      </c>
      <c r="I81" s="19">
        <v>0.0</v>
      </c>
      <c r="J81" s="19">
        <v>0.0</v>
      </c>
      <c r="K81" s="6">
        <f>C81*PV_UPDATE+D81*PV_DEPLOY+E81*PV_HELP+F81*PV_BLOG+G81*PV_PR+H81*PV_BUILDNIGHT+I81*PV_MENTOR+J81*PV_DEMO</f>
        <v>45</v>
      </c>
    </row>
    <row r="82" ht="15.75" customHeight="1">
      <c r="A82" s="7" t="s">
        <v>243</v>
      </c>
      <c r="B82" s="7" t="s">
        <v>244</v>
      </c>
      <c r="C82" s="19">
        <v>0.0</v>
      </c>
      <c r="D82" s="19">
        <v>0.0</v>
      </c>
      <c r="E82" s="19"/>
      <c r="F82" s="19">
        <v>0.0</v>
      </c>
      <c r="G82" s="19">
        <v>0.0</v>
      </c>
      <c r="H82" s="19">
        <v>0.0</v>
      </c>
      <c r="I82" s="19">
        <v>0.0</v>
      </c>
      <c r="J82" s="19">
        <v>0.0</v>
      </c>
      <c r="K82" s="6">
        <f>C82*PV_UPDATE+D82*PV_DEPLOY+E82*PV_HELP+F82*PV_BLOG+G82*PV_PR+H82*PV_BUILDNIGHT+I82*PV_MENTOR+J82*PV_DEMO</f>
        <v>0</v>
      </c>
    </row>
    <row r="83" ht="15.75" customHeight="1">
      <c r="A83" s="7" t="s">
        <v>245</v>
      </c>
      <c r="B83" s="7" t="s">
        <v>246</v>
      </c>
      <c r="C83" s="19">
        <v>0.0</v>
      </c>
      <c r="D83" s="19">
        <v>0.0</v>
      </c>
      <c r="E83" s="19"/>
      <c r="F83" s="19">
        <v>0.0</v>
      </c>
      <c r="G83" s="19">
        <v>0.0</v>
      </c>
      <c r="H83" s="19">
        <v>0.0</v>
      </c>
      <c r="I83" s="19">
        <v>0.0</v>
      </c>
      <c r="J83" s="19">
        <v>0.0</v>
      </c>
      <c r="K83" s="6">
        <f>C83*PV_UPDATE+D83*PV_DEPLOY+E83*PV_HELP+F83*PV_BLOG+G83*PV_PR+H83*PV_BUILDNIGHT+I83*PV_MENTOR+J83*PV_DEMO</f>
        <v>0</v>
      </c>
    </row>
    <row r="84" ht="15.75" customHeight="1">
      <c r="A84" s="7" t="s">
        <v>247</v>
      </c>
      <c r="B84" s="7" t="s">
        <v>248</v>
      </c>
      <c r="C84" s="19">
        <v>0.0</v>
      </c>
      <c r="D84" s="19">
        <v>0.0</v>
      </c>
      <c r="E84" s="19"/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6">
        <f>C84*PV_UPDATE+D84*PV_DEPLOY+E84*PV_HELP+F84*PV_BLOG+G84*PV_PR+H84*PV_BUILDNIGHT+I84*PV_MENTOR+J84*PV_DEMO</f>
        <v>0</v>
      </c>
    </row>
    <row r="85" ht="15.75" customHeight="1">
      <c r="A85" s="7" t="s">
        <v>249</v>
      </c>
      <c r="B85" s="7" t="s">
        <v>250</v>
      </c>
      <c r="C85" s="18">
        <v>1.0</v>
      </c>
      <c r="D85" s="18">
        <v>1.0</v>
      </c>
      <c r="E85" s="19"/>
      <c r="F85" s="18">
        <v>1.0</v>
      </c>
      <c r="G85" s="19">
        <v>0.0</v>
      </c>
      <c r="H85" s="19">
        <v>0.0</v>
      </c>
      <c r="I85" s="19">
        <v>0.0</v>
      </c>
      <c r="J85" s="19">
        <v>0.0</v>
      </c>
      <c r="K85" s="6">
        <f>C85*PV_UPDATE+D85*PV_DEPLOY+E85*PV_HELP+F85*PV_BLOG+G85*PV_PR+H85*PV_BUILDNIGHT+I85*PV_MENTOR+J85*PV_DEMO</f>
        <v>45</v>
      </c>
    </row>
    <row r="86" ht="15.75" customHeight="1">
      <c r="A86" s="7" t="s">
        <v>251</v>
      </c>
      <c r="B86" s="7" t="s">
        <v>252</v>
      </c>
      <c r="C86" s="19">
        <v>0.0</v>
      </c>
      <c r="D86" s="19">
        <v>0.0</v>
      </c>
      <c r="E86" s="19"/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6">
        <f>C86*PV_UPDATE+D86*PV_DEPLOY+E86*PV_HELP+F86*PV_BLOG+G86*PV_PR+H86*PV_BUILDNIGHT+I86*PV_MENTOR+J86*PV_DEMO</f>
        <v>0</v>
      </c>
    </row>
    <row r="87" ht="15.75" customHeight="1">
      <c r="A87" s="7" t="s">
        <v>253</v>
      </c>
      <c r="B87" s="7" t="s">
        <v>254</v>
      </c>
      <c r="C87" s="18">
        <v>1.0</v>
      </c>
      <c r="D87" s="18">
        <v>1.0</v>
      </c>
      <c r="E87" s="19"/>
      <c r="F87" s="18">
        <v>1.0</v>
      </c>
      <c r="G87" s="19">
        <v>0.0</v>
      </c>
      <c r="H87" s="19">
        <v>0.0</v>
      </c>
      <c r="I87" s="19">
        <v>0.0</v>
      </c>
      <c r="J87" s="19">
        <v>0.0</v>
      </c>
      <c r="K87" s="6">
        <f>C87*PV_UPDATE+D87*PV_DEPLOY+E87*PV_HELP+F87*PV_BLOG+G87*PV_PR+H87*PV_BUILDNIGHT+I87*PV_MENTOR+J87*PV_DEMO</f>
        <v>45</v>
      </c>
    </row>
    <row r="88" ht="15.75" customHeight="1">
      <c r="A88" s="7" t="s">
        <v>256</v>
      </c>
      <c r="B88" s="7" t="s">
        <v>257</v>
      </c>
      <c r="C88" s="18">
        <v>1.0</v>
      </c>
      <c r="D88" s="19">
        <v>0.0</v>
      </c>
      <c r="E88" s="19"/>
      <c r="F88" s="18">
        <v>1.0</v>
      </c>
      <c r="G88" s="19">
        <v>0.0</v>
      </c>
      <c r="H88" s="19">
        <v>0.0</v>
      </c>
      <c r="I88" s="19">
        <v>0.0</v>
      </c>
      <c r="J88" s="19">
        <v>0.0</v>
      </c>
      <c r="K88" s="6">
        <f>C88*PV_UPDATE+D88*PV_DEPLOY+E88*PV_HELP+F88*PV_BLOG+G88*PV_PR+H88*PV_BUILDNIGHT+I88*PV_MENTOR+J88*PV_DEMO</f>
        <v>30</v>
      </c>
    </row>
    <row r="89" ht="15.75" customHeight="1">
      <c r="A89" s="7" t="s">
        <v>258</v>
      </c>
      <c r="B89" s="7" t="s">
        <v>259</v>
      </c>
      <c r="C89" s="19">
        <v>0.0</v>
      </c>
      <c r="D89" s="19">
        <v>0.0</v>
      </c>
      <c r="E89" s="19"/>
      <c r="F89" s="19">
        <v>0.0</v>
      </c>
      <c r="G89" s="19">
        <v>0.0</v>
      </c>
      <c r="H89" s="19">
        <v>0.0</v>
      </c>
      <c r="I89" s="19">
        <v>0.0</v>
      </c>
      <c r="J89" s="19">
        <v>0.0</v>
      </c>
      <c r="K89" s="6">
        <f>C89*PV_UPDATE+D89*PV_DEPLOY+E89*PV_HELP+F89*PV_BLOG+G89*PV_PR+H89*PV_BUILDNIGHT+I89*PV_MENTOR+J89*PV_DEMO</f>
        <v>0</v>
      </c>
    </row>
    <row r="90" ht="15.75" customHeight="1">
      <c r="A90" s="7" t="s">
        <v>260</v>
      </c>
      <c r="B90" s="7" t="s">
        <v>261</v>
      </c>
      <c r="C90" s="19">
        <v>0.0</v>
      </c>
      <c r="D90" s="19">
        <v>0.0</v>
      </c>
      <c r="E90" s="19"/>
      <c r="F90" s="19">
        <v>0.0</v>
      </c>
      <c r="G90" s="19">
        <v>0.0</v>
      </c>
      <c r="H90" s="19">
        <v>0.0</v>
      </c>
      <c r="I90" s="19">
        <v>0.0</v>
      </c>
      <c r="J90" s="19">
        <v>0.0</v>
      </c>
      <c r="K90" s="6">
        <f>C90*PV_UPDATE+D90*PV_DEPLOY+E90*PV_HELP+F90*PV_BLOG+G90*PV_PR+H90*PV_BUILDNIGHT+I90*PV_MENTOR+J90*PV_DEMO</f>
        <v>0</v>
      </c>
    </row>
    <row r="91" ht="15.75" customHeight="1">
      <c r="A91" s="7" t="s">
        <v>262</v>
      </c>
      <c r="B91" s="7" t="s">
        <v>263</v>
      </c>
      <c r="C91" s="19">
        <v>0.0</v>
      </c>
      <c r="D91" s="19">
        <v>0.0</v>
      </c>
      <c r="E91" s="19"/>
      <c r="F91" s="19">
        <v>0.0</v>
      </c>
      <c r="G91" s="19">
        <v>0.0</v>
      </c>
      <c r="H91" s="19">
        <v>0.0</v>
      </c>
      <c r="I91" s="19">
        <v>0.0</v>
      </c>
      <c r="J91" s="19">
        <v>0.0</v>
      </c>
      <c r="K91" s="6">
        <f>C91*PV_UPDATE+D91*PV_DEPLOY+E91*PV_HELP+F91*PV_BLOG+G91*PV_PR+H91*PV_BUILDNIGHT+I91*PV_MENTOR+J91*PV_DEMO</f>
        <v>0</v>
      </c>
    </row>
    <row r="92" ht="15.75" customHeight="1">
      <c r="A92" s="7" t="s">
        <v>264</v>
      </c>
      <c r="B92" s="7" t="s">
        <v>265</v>
      </c>
      <c r="C92" s="19">
        <v>0.0</v>
      </c>
      <c r="D92" s="19">
        <v>0.0</v>
      </c>
      <c r="E92" s="19"/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6">
        <f>C92*PV_UPDATE+D92*PV_DEPLOY+E92*PV_HELP+F92*PV_BLOG+G92*PV_PR+H92*PV_BUILDNIGHT+I92*PV_MENTOR+J92*PV_DEMO</f>
        <v>0</v>
      </c>
    </row>
    <row r="93" ht="15.75" customHeight="1">
      <c r="A93" s="7" t="s">
        <v>266</v>
      </c>
      <c r="B93" s="7" t="s">
        <v>267</v>
      </c>
      <c r="C93" s="18">
        <v>1.0</v>
      </c>
      <c r="D93" s="18">
        <v>1.0</v>
      </c>
      <c r="E93" s="19"/>
      <c r="F93" s="18">
        <v>2.0</v>
      </c>
      <c r="G93" s="19">
        <v>0.0</v>
      </c>
      <c r="H93" s="19">
        <v>0.0</v>
      </c>
      <c r="I93" s="19">
        <v>0.0</v>
      </c>
      <c r="J93" s="19">
        <v>0.0</v>
      </c>
      <c r="K93" s="6">
        <f>C93*PV_UPDATE+D93*PV_DEPLOY+E93*PV_HELP+F93*PV_BLOG+G93*PV_PR+H93*PV_BUILDNIGHT+I93*PV_MENTOR+J93*PV_DEMO</f>
        <v>65</v>
      </c>
    </row>
    <row r="94" ht="15.75" customHeight="1">
      <c r="A94" s="7" t="s">
        <v>268</v>
      </c>
      <c r="B94" s="7" t="s">
        <v>269</v>
      </c>
      <c r="C94" s="19">
        <v>0.0</v>
      </c>
      <c r="D94" s="19">
        <v>0.0</v>
      </c>
      <c r="E94" s="19"/>
      <c r="F94" s="19">
        <v>0.0</v>
      </c>
      <c r="G94" s="19">
        <v>0.0</v>
      </c>
      <c r="H94" s="19">
        <v>0.0</v>
      </c>
      <c r="I94" s="19">
        <v>0.0</v>
      </c>
      <c r="J94" s="19">
        <v>0.0</v>
      </c>
      <c r="K94" s="6">
        <f>C94*PV_UPDATE+D94*PV_DEPLOY+E94*PV_HELP+F94*PV_BLOG+G94*PV_PR+H94*PV_BUILDNIGHT+I94*PV_MENTOR+J94*PV_DEMO</f>
        <v>0</v>
      </c>
    </row>
    <row r="95" ht="15.75" customHeight="1">
      <c r="A95" s="7" t="s">
        <v>270</v>
      </c>
      <c r="B95" s="7" t="s">
        <v>271</v>
      </c>
      <c r="C95" s="18">
        <v>1.0</v>
      </c>
      <c r="D95" s="18">
        <v>1.0</v>
      </c>
      <c r="E95" s="19"/>
      <c r="F95" s="18">
        <v>1.0</v>
      </c>
      <c r="G95" s="19">
        <v>0.0</v>
      </c>
      <c r="H95" s="19">
        <v>0.0</v>
      </c>
      <c r="I95" s="19">
        <v>0.0</v>
      </c>
      <c r="J95" s="19">
        <v>0.0</v>
      </c>
      <c r="K95" s="6">
        <f>C95*PV_UPDATE+D95*PV_DEPLOY+E95*PV_HELP+F95*PV_BLOG+G95*PV_PR+H95*PV_BUILDNIGHT+I95*PV_MENTOR+J95*PV_DEMO</f>
        <v>45</v>
      </c>
    </row>
    <row r="96" ht="15.75" customHeight="1">
      <c r="A96" s="7" t="s">
        <v>272</v>
      </c>
      <c r="B96" s="7" t="s">
        <v>273</v>
      </c>
      <c r="C96" s="19">
        <v>0.0</v>
      </c>
      <c r="D96" s="19">
        <v>0.0</v>
      </c>
      <c r="E96" s="19"/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6">
        <f>C96*PV_UPDATE+D96*PV_DEPLOY+E96*PV_HELP+F96*PV_BLOG+G96*PV_PR+H96*PV_BUILDNIGHT+I96*PV_MENTOR+J96*PV_DEMO</f>
        <v>0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96"/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16.0"/>
    <col customWidth="1" min="4" max="4" width="10.0"/>
    <col customWidth="1" min="5" max="5" width="16.0"/>
    <col customWidth="1" min="6" max="7" width="11.0"/>
    <col customWidth="1" min="8" max="8" width="16.0"/>
    <col customWidth="1" min="9" max="9" width="18.0"/>
    <col customWidth="1" min="10" max="11" width="13.0"/>
    <col customWidth="1" min="12" max="26" width="8.71"/>
  </cols>
  <sheetData>
    <row r="1">
      <c r="A1" s="3" t="s">
        <v>69</v>
      </c>
      <c r="B1" s="3" t="s">
        <v>70</v>
      </c>
      <c r="C1" s="3" t="s">
        <v>495</v>
      </c>
      <c r="D1" s="3" t="s">
        <v>496</v>
      </c>
      <c r="E1" s="3"/>
      <c r="F1" s="3" t="s">
        <v>497</v>
      </c>
      <c r="G1" s="3" t="s">
        <v>498</v>
      </c>
      <c r="H1" s="3" t="s">
        <v>499</v>
      </c>
      <c r="I1" s="3" t="s">
        <v>500</v>
      </c>
      <c r="J1" s="3" t="s">
        <v>501</v>
      </c>
      <c r="K1" s="3" t="s">
        <v>502</v>
      </c>
    </row>
    <row r="2">
      <c r="A2" s="7" t="s">
        <v>79</v>
      </c>
      <c r="B2" s="7" t="s">
        <v>80</v>
      </c>
      <c r="C2" s="18">
        <v>1.0</v>
      </c>
      <c r="D2" s="18">
        <v>1.0</v>
      </c>
      <c r="E2" s="18"/>
      <c r="F2" s="18">
        <v>2.0</v>
      </c>
      <c r="G2" s="19">
        <v>0.0</v>
      </c>
      <c r="H2" s="18">
        <v>1.0</v>
      </c>
      <c r="I2" s="19">
        <v>0.0</v>
      </c>
      <c r="J2" s="19">
        <v>0.0</v>
      </c>
      <c r="K2" s="6">
        <f>C2*PV_UPDATE+D2*PV_DEPLOY+E2*PV_HELP+F2*PV_BLOG+G2*PV_PR+H2*PV_BUILDNIGHT+I2*PV_MENTOR+J2*PV_DEMO</f>
        <v>80</v>
      </c>
    </row>
    <row r="3">
      <c r="A3" s="7" t="s">
        <v>82</v>
      </c>
      <c r="B3" s="7" t="s">
        <v>83</v>
      </c>
      <c r="C3" s="18">
        <v>1.0</v>
      </c>
      <c r="D3" s="18">
        <v>1.0</v>
      </c>
      <c r="E3" s="18"/>
      <c r="F3" s="18">
        <v>2.0</v>
      </c>
      <c r="G3" s="18">
        <v>1.0</v>
      </c>
      <c r="H3" s="18">
        <v>1.0</v>
      </c>
      <c r="I3" s="19">
        <v>0.0</v>
      </c>
      <c r="J3" s="19">
        <v>0.0</v>
      </c>
      <c r="K3" s="6">
        <f>C3*PV_UPDATE+D3*PV_DEPLOY+E3*PV_HELP+F3*PV_BLOG+G3*PV_PR+H3*PV_BUILDNIGHT+I3*PV_MENTOR+J3*PV_DEMO</f>
        <v>105</v>
      </c>
    </row>
    <row r="4">
      <c r="A4" s="7" t="s">
        <v>84</v>
      </c>
      <c r="B4" s="7" t="s">
        <v>85</v>
      </c>
      <c r="C4" s="19">
        <v>0.0</v>
      </c>
      <c r="D4" s="19">
        <v>0.0</v>
      </c>
      <c r="E4" s="19"/>
      <c r="F4" s="19">
        <v>0.0</v>
      </c>
      <c r="G4" s="19">
        <v>0.0</v>
      </c>
      <c r="H4" s="19">
        <v>0.0</v>
      </c>
      <c r="I4" s="19">
        <v>0.0</v>
      </c>
      <c r="J4" s="19">
        <v>0.0</v>
      </c>
      <c r="K4" s="6">
        <f>C4*PV_UPDATE+D4*PV_DEPLOY+E4*PV_HELP+F4*PV_BLOG+G4*PV_PR+H4*PV_BUILDNIGHT+I4*PV_MENTOR+J4*PV_DEMO</f>
        <v>0</v>
      </c>
    </row>
    <row r="5">
      <c r="A5" s="7" t="s">
        <v>87</v>
      </c>
      <c r="B5" s="7" t="s">
        <v>88</v>
      </c>
      <c r="C5" s="19">
        <v>0.0</v>
      </c>
      <c r="D5" s="19">
        <v>0.0</v>
      </c>
      <c r="E5" s="18"/>
      <c r="F5" s="19">
        <v>0.0</v>
      </c>
      <c r="G5" s="19">
        <v>0.0</v>
      </c>
      <c r="H5" s="19">
        <v>0.0</v>
      </c>
      <c r="I5" s="19">
        <v>0.0</v>
      </c>
      <c r="J5" s="19">
        <v>0.0</v>
      </c>
      <c r="K5" s="6">
        <f>C5*PV_UPDATE+D5*PV_DEPLOY+E5*PV_HELP+F5*PV_BLOG+G5*PV_PR+H5*PV_BUILDNIGHT+I5*PV_MENTOR+J5*PV_DEMO</f>
        <v>0</v>
      </c>
    </row>
    <row r="6">
      <c r="A6" s="7" t="s">
        <v>89</v>
      </c>
      <c r="B6" s="7" t="s">
        <v>90</v>
      </c>
      <c r="C6" s="19">
        <v>0.0</v>
      </c>
      <c r="D6" s="19">
        <v>0.0</v>
      </c>
      <c r="E6" s="19"/>
      <c r="F6" s="19">
        <v>0.0</v>
      </c>
      <c r="G6" s="19">
        <v>0.0</v>
      </c>
      <c r="H6" s="19">
        <v>0.0</v>
      </c>
      <c r="I6" s="19">
        <v>0.0</v>
      </c>
      <c r="J6" s="19">
        <v>0.0</v>
      </c>
      <c r="K6" s="6">
        <f>C6*PV_UPDATE+D6*PV_DEPLOY+E6*PV_HELP+F6*PV_BLOG+G6*PV_PR+H6*PV_BUILDNIGHT+I6*PV_MENTOR+J6*PV_DEMO</f>
        <v>0</v>
      </c>
    </row>
    <row r="7">
      <c r="A7" s="7" t="s">
        <v>91</v>
      </c>
      <c r="B7" s="7" t="s">
        <v>92</v>
      </c>
      <c r="C7" s="19">
        <v>0.0</v>
      </c>
      <c r="D7" s="19">
        <v>0.0</v>
      </c>
      <c r="E7" s="19"/>
      <c r="F7" s="19">
        <v>0.0</v>
      </c>
      <c r="G7" s="19">
        <v>0.0</v>
      </c>
      <c r="H7" s="19">
        <v>0.0</v>
      </c>
      <c r="I7" s="19">
        <v>0.0</v>
      </c>
      <c r="J7" s="19">
        <v>0.0</v>
      </c>
      <c r="K7" s="6">
        <f>C7*PV_UPDATE+D7*PV_DEPLOY+E7*PV_HELP+F7*PV_BLOG+G7*PV_PR+H7*PV_BUILDNIGHT+I7*PV_MENTOR+J7*PV_DEMO</f>
        <v>0</v>
      </c>
    </row>
    <row r="8">
      <c r="A8" s="7" t="s">
        <v>93</v>
      </c>
      <c r="B8" s="7" t="s">
        <v>94</v>
      </c>
      <c r="C8" s="18">
        <v>1.0</v>
      </c>
      <c r="D8" s="18">
        <v>1.0</v>
      </c>
      <c r="E8" s="18"/>
      <c r="F8" s="18">
        <v>2.0</v>
      </c>
      <c r="G8" s="19">
        <v>0.0</v>
      </c>
      <c r="H8" s="18">
        <v>1.0</v>
      </c>
      <c r="I8" s="19">
        <v>0.0</v>
      </c>
      <c r="J8" s="19">
        <v>0.0</v>
      </c>
      <c r="K8" s="6">
        <f>C8*PV_UPDATE+D8*PV_DEPLOY+E8*PV_HELP+F8*PV_BLOG+G8*PV_PR+H8*PV_BUILDNIGHT+I8*PV_MENTOR+J8*PV_DEMO</f>
        <v>80</v>
      </c>
    </row>
    <row r="9">
      <c r="A9" s="7" t="s">
        <v>96</v>
      </c>
      <c r="B9" s="7" t="s">
        <v>97</v>
      </c>
      <c r="C9" s="19">
        <v>0.0</v>
      </c>
      <c r="D9" s="19">
        <v>0.0</v>
      </c>
      <c r="E9" s="18"/>
      <c r="F9" s="18">
        <v>2.0</v>
      </c>
      <c r="G9" s="19">
        <v>0.0</v>
      </c>
      <c r="H9" s="19">
        <v>0.0</v>
      </c>
      <c r="I9" s="19">
        <v>0.0</v>
      </c>
      <c r="J9" s="19">
        <v>0.0</v>
      </c>
      <c r="K9" s="6">
        <f>C9*PV_UPDATE+D9*PV_DEPLOY+E9*PV_HELP+F9*PV_BLOG+G9*PV_PR+H9*PV_BUILDNIGHT+I9*PV_MENTOR+J9*PV_DEMO</f>
        <v>40</v>
      </c>
    </row>
    <row r="10">
      <c r="A10" s="7" t="s">
        <v>98</v>
      </c>
      <c r="B10" s="7" t="s">
        <v>99</v>
      </c>
      <c r="C10" s="19">
        <v>0.0</v>
      </c>
      <c r="D10" s="19">
        <v>0.0</v>
      </c>
      <c r="E10" s="19"/>
      <c r="F10" s="19">
        <v>0.0</v>
      </c>
      <c r="G10" s="19">
        <v>0.0</v>
      </c>
      <c r="H10" s="19">
        <v>0.0</v>
      </c>
      <c r="I10" s="19">
        <v>0.0</v>
      </c>
      <c r="J10" s="19">
        <v>0.0</v>
      </c>
      <c r="K10" s="6">
        <f>C10*PV_UPDATE+D10*PV_DEPLOY+E10*PV_HELP+F10*PV_BLOG+G10*PV_PR+H10*PV_BUILDNIGHT+I10*PV_MENTOR+J10*PV_DEMO</f>
        <v>0</v>
      </c>
    </row>
    <row r="11">
      <c r="A11" s="7" t="s">
        <v>100</v>
      </c>
      <c r="B11" s="7" t="s">
        <v>101</v>
      </c>
      <c r="C11" s="19">
        <v>0.0</v>
      </c>
      <c r="D11" s="19">
        <v>0.0</v>
      </c>
      <c r="E11" s="19"/>
      <c r="F11" s="19">
        <v>0.0</v>
      </c>
      <c r="G11" s="19">
        <v>0.0</v>
      </c>
      <c r="H11" s="19">
        <v>0.0</v>
      </c>
      <c r="I11" s="19">
        <v>0.0</v>
      </c>
      <c r="J11" s="19">
        <v>0.0</v>
      </c>
      <c r="K11" s="6">
        <f>C11*PV_UPDATE+D11*PV_DEPLOY+E11*PV_HELP+F11*PV_BLOG+G11*PV_PR+H11*PV_BUILDNIGHT+I11*PV_MENTOR+J11*PV_DEMO</f>
        <v>0</v>
      </c>
    </row>
    <row r="12">
      <c r="A12" s="7" t="s">
        <v>102</v>
      </c>
      <c r="B12" s="7" t="s">
        <v>103</v>
      </c>
      <c r="C12" s="18">
        <v>1.0</v>
      </c>
      <c r="D12" s="18">
        <v>1.0</v>
      </c>
      <c r="E12" s="18"/>
      <c r="F12" s="18">
        <v>2.0</v>
      </c>
      <c r="G12" s="19">
        <v>0.0</v>
      </c>
      <c r="H12" s="18">
        <v>1.0</v>
      </c>
      <c r="I12" s="19">
        <v>0.0</v>
      </c>
      <c r="J12" s="19">
        <v>0.0</v>
      </c>
      <c r="K12" s="6">
        <f>C12*PV_UPDATE+D12*PV_DEPLOY+E12*PV_HELP+F12*PV_BLOG+G12*PV_PR+H12*PV_BUILDNIGHT+I12*PV_MENTOR+J12*PV_DEMO</f>
        <v>80</v>
      </c>
    </row>
    <row r="13">
      <c r="A13" s="7" t="s">
        <v>104</v>
      </c>
      <c r="B13" s="7" t="s">
        <v>105</v>
      </c>
      <c r="C13" s="19">
        <v>0.0</v>
      </c>
      <c r="D13" s="19">
        <v>0.0</v>
      </c>
      <c r="E13" s="19"/>
      <c r="F13" s="19">
        <v>0.0</v>
      </c>
      <c r="G13" s="19">
        <v>0.0</v>
      </c>
      <c r="H13" s="19">
        <v>0.0</v>
      </c>
      <c r="I13" s="19">
        <v>0.0</v>
      </c>
      <c r="J13" s="19">
        <v>0.0</v>
      </c>
      <c r="K13" s="6">
        <f>C13*PV_UPDATE+D13*PV_DEPLOY+E13*PV_HELP+F13*PV_BLOG+G13*PV_PR+H13*PV_BUILDNIGHT+I13*PV_MENTOR+J13*PV_DEMO</f>
        <v>0</v>
      </c>
    </row>
    <row r="14">
      <c r="A14" s="7" t="s">
        <v>106</v>
      </c>
      <c r="B14" s="7" t="s">
        <v>107</v>
      </c>
      <c r="C14" s="19">
        <v>0.0</v>
      </c>
      <c r="D14" s="19">
        <v>0.0</v>
      </c>
      <c r="E14" s="19"/>
      <c r="F14" s="19">
        <v>0.0</v>
      </c>
      <c r="G14" s="19">
        <v>0.0</v>
      </c>
      <c r="H14" s="19">
        <v>0.0</v>
      </c>
      <c r="I14" s="19">
        <v>0.0</v>
      </c>
      <c r="J14" s="19">
        <v>0.0</v>
      </c>
      <c r="K14" s="6">
        <f>C14*PV_UPDATE+D14*PV_DEPLOY+E14*PV_HELP+F14*PV_BLOG+G14*PV_PR+H14*PV_BUILDNIGHT+I14*PV_MENTOR+J14*PV_DEMO</f>
        <v>0</v>
      </c>
    </row>
    <row r="15">
      <c r="A15" s="7" t="s">
        <v>108</v>
      </c>
      <c r="B15" s="7" t="s">
        <v>109</v>
      </c>
      <c r="C15" s="19">
        <v>0.0</v>
      </c>
      <c r="D15" s="19">
        <v>0.0</v>
      </c>
      <c r="E15" s="19"/>
      <c r="F15" s="19">
        <v>0.0</v>
      </c>
      <c r="G15" s="19">
        <v>0.0</v>
      </c>
      <c r="H15" s="19">
        <v>0.0</v>
      </c>
      <c r="I15" s="19">
        <v>0.0</v>
      </c>
      <c r="J15" s="19">
        <v>0.0</v>
      </c>
      <c r="K15" s="6">
        <f>C15*PV_UPDATE+D15*PV_DEPLOY+E15*PV_HELP+F15*PV_BLOG+G15*PV_PR+H15*PV_BUILDNIGHT+I15*PV_MENTOR+J15*PV_DEMO</f>
        <v>0</v>
      </c>
    </row>
    <row r="16">
      <c r="A16" s="7" t="s">
        <v>110</v>
      </c>
      <c r="B16" s="7" t="s">
        <v>111</v>
      </c>
      <c r="C16" s="18">
        <v>1.0</v>
      </c>
      <c r="D16" s="18">
        <v>0.0</v>
      </c>
      <c r="E16" s="19"/>
      <c r="F16" s="19">
        <v>0.0</v>
      </c>
      <c r="G16" s="19">
        <v>0.0</v>
      </c>
      <c r="H16" s="18">
        <v>1.0</v>
      </c>
      <c r="I16" s="19">
        <v>0.0</v>
      </c>
      <c r="J16" s="19">
        <v>0.0</v>
      </c>
      <c r="K16" s="6">
        <f>C16*PV_UPDATE+D16*PV_DEPLOY+E16*PV_HELP+F16*PV_BLOG+G16*PV_PR+H16*PV_BUILDNIGHT+I16*PV_MENTOR+J16*PV_DEMO</f>
        <v>25</v>
      </c>
    </row>
    <row r="17">
      <c r="A17" s="7" t="s">
        <v>112</v>
      </c>
      <c r="B17" s="7" t="s">
        <v>113</v>
      </c>
      <c r="C17" s="19">
        <v>0.0</v>
      </c>
      <c r="D17" s="19">
        <v>0.0</v>
      </c>
      <c r="E17" s="19"/>
      <c r="F17" s="19">
        <v>0.0</v>
      </c>
      <c r="G17" s="19">
        <v>0.0</v>
      </c>
      <c r="H17" s="19">
        <v>0.0</v>
      </c>
      <c r="I17" s="19">
        <v>0.0</v>
      </c>
      <c r="J17" s="19">
        <v>0.0</v>
      </c>
      <c r="K17" s="6">
        <f>C17*PV_UPDATE+D17*PV_DEPLOY+E17*PV_HELP+F17*PV_BLOG+G17*PV_PR+H17*PV_BUILDNIGHT+I17*PV_MENTOR+J17*PV_DEMO</f>
        <v>0</v>
      </c>
    </row>
    <row r="18">
      <c r="A18" s="7" t="s">
        <v>114</v>
      </c>
      <c r="B18" s="7" t="s">
        <v>115</v>
      </c>
      <c r="C18" s="19">
        <v>0.0</v>
      </c>
      <c r="D18" s="18">
        <v>0.0</v>
      </c>
      <c r="E18" s="19"/>
      <c r="F18" s="19">
        <v>0.0</v>
      </c>
      <c r="G18" s="19">
        <v>0.0</v>
      </c>
      <c r="H18" s="19">
        <v>0.0</v>
      </c>
      <c r="I18" s="19">
        <v>0.0</v>
      </c>
      <c r="J18" s="19">
        <v>0.0</v>
      </c>
      <c r="K18" s="6">
        <f>C18*PV_UPDATE+D18*PV_DEPLOY+E18*PV_HELP+F18*PV_BLOG+G18*PV_PR+H18*PV_BUILDNIGHT+I18*PV_MENTOR+J18*PV_DEMO</f>
        <v>0</v>
      </c>
    </row>
    <row r="19">
      <c r="A19" s="7" t="s">
        <v>116</v>
      </c>
      <c r="B19" s="7" t="s">
        <v>117</v>
      </c>
      <c r="C19" s="19">
        <v>0.0</v>
      </c>
      <c r="D19" s="19">
        <v>0.0</v>
      </c>
      <c r="E19" s="19"/>
      <c r="F19" s="19">
        <v>0.0</v>
      </c>
      <c r="G19" s="19">
        <v>0.0</v>
      </c>
      <c r="H19" s="19">
        <v>0.0</v>
      </c>
      <c r="I19" s="19">
        <v>0.0</v>
      </c>
      <c r="J19" s="19">
        <v>0.0</v>
      </c>
      <c r="K19" s="6">
        <f>C19*PV_UPDATE+D19*PV_DEPLOY+E19*PV_HELP+F19*PV_BLOG+G19*PV_PR+H19*PV_BUILDNIGHT+I19*PV_MENTOR+J19*PV_DEMO</f>
        <v>0</v>
      </c>
    </row>
    <row r="20">
      <c r="A20" s="7" t="s">
        <v>118</v>
      </c>
      <c r="B20" s="7" t="s">
        <v>119</v>
      </c>
      <c r="C20" s="19">
        <v>0.0</v>
      </c>
      <c r="D20" s="19">
        <v>0.0</v>
      </c>
      <c r="E20" s="18"/>
      <c r="F20" s="18">
        <v>2.0</v>
      </c>
      <c r="G20" s="18">
        <v>1.0</v>
      </c>
      <c r="H20" s="18">
        <v>1.0</v>
      </c>
      <c r="I20" s="19">
        <v>0.0</v>
      </c>
      <c r="J20" s="19">
        <v>0.0</v>
      </c>
      <c r="K20" s="6">
        <f>C20*PV_UPDATE+D20*PV_DEPLOY+E20*PV_HELP+F20*PV_BLOG+G20*PV_PR+H20*PV_BUILDNIGHT+I20*PV_MENTOR+J20*PV_DEMO</f>
        <v>80</v>
      </c>
    </row>
    <row r="21" ht="15.75" customHeight="1">
      <c r="A21" s="7" t="s">
        <v>120</v>
      </c>
      <c r="B21" s="7" t="s">
        <v>121</v>
      </c>
      <c r="C21" s="19">
        <v>0.0</v>
      </c>
      <c r="D21" s="19">
        <v>0.0</v>
      </c>
      <c r="E21" s="19"/>
      <c r="F21" s="19">
        <v>0.0</v>
      </c>
      <c r="G21" s="19">
        <v>0.0</v>
      </c>
      <c r="H21" s="19">
        <v>0.0</v>
      </c>
      <c r="I21" s="19">
        <v>0.0</v>
      </c>
      <c r="J21" s="19">
        <v>0.0</v>
      </c>
      <c r="K21" s="6">
        <f>C21*PV_UPDATE+D21*PV_DEPLOY+E21*PV_HELP+F21*PV_BLOG+G21*PV_PR+H21*PV_BUILDNIGHT+I21*PV_MENTOR+J21*PV_DEMO</f>
        <v>0</v>
      </c>
    </row>
    <row r="22" ht="15.75" customHeight="1">
      <c r="A22" s="7" t="s">
        <v>122</v>
      </c>
      <c r="B22" s="7" t="s">
        <v>123</v>
      </c>
      <c r="C22" s="19">
        <v>0.0</v>
      </c>
      <c r="D22" s="19">
        <v>0.0</v>
      </c>
      <c r="E22" s="19"/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6">
        <f>C22*PV_UPDATE+D22*PV_DEPLOY+E22*PV_HELP+F22*PV_BLOG+G22*PV_PR+H22*PV_BUILDNIGHT+I22*PV_MENTOR+J22*PV_DEMO</f>
        <v>0</v>
      </c>
    </row>
    <row r="23" ht="15.75" customHeight="1">
      <c r="A23" s="7" t="s">
        <v>124</v>
      </c>
      <c r="B23" s="7" t="s">
        <v>125</v>
      </c>
      <c r="C23" s="19">
        <v>0.0</v>
      </c>
      <c r="D23" s="19">
        <v>0.0</v>
      </c>
      <c r="E23" s="19"/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6">
        <f>C23*PV_UPDATE+D23*PV_DEPLOY+E23*PV_HELP+F23*PV_BLOG+G23*PV_PR+H23*PV_BUILDNIGHT+I23*PV_MENTOR+J23*PV_DEMO</f>
        <v>0</v>
      </c>
    </row>
    <row r="24" ht="15.75" customHeight="1">
      <c r="A24" s="7" t="s">
        <v>126</v>
      </c>
      <c r="B24" s="7" t="s">
        <v>127</v>
      </c>
      <c r="C24" s="19">
        <v>0.0</v>
      </c>
      <c r="D24" s="19">
        <v>0.0</v>
      </c>
      <c r="E24" s="19"/>
      <c r="F24" s="19">
        <v>0.0</v>
      </c>
      <c r="G24" s="19">
        <v>0.0</v>
      </c>
      <c r="H24" s="19">
        <v>0.0</v>
      </c>
      <c r="I24" s="19">
        <v>0.0</v>
      </c>
      <c r="J24" s="19">
        <v>0.0</v>
      </c>
      <c r="K24" s="6">
        <f>C24*PV_UPDATE+D24*PV_DEPLOY+E24*PV_HELP+F24*PV_BLOG+G24*PV_PR+H24*PV_BUILDNIGHT+I24*PV_MENTOR+J24*PV_DEMO</f>
        <v>0</v>
      </c>
    </row>
    <row r="25" ht="15.75" customHeight="1">
      <c r="A25" s="7" t="s">
        <v>128</v>
      </c>
      <c r="B25" s="7" t="s">
        <v>129</v>
      </c>
      <c r="C25" s="19">
        <v>0.0</v>
      </c>
      <c r="D25" s="19">
        <v>0.0</v>
      </c>
      <c r="E25" s="19"/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6">
        <f>C25*PV_UPDATE+D25*PV_DEPLOY+E25*PV_HELP+F25*PV_BLOG+G25*PV_PR+H25*PV_BUILDNIGHT+I25*PV_MENTOR+J25*PV_DEMO</f>
        <v>0</v>
      </c>
    </row>
    <row r="26" ht="15.75" customHeight="1">
      <c r="A26" s="7" t="s">
        <v>130</v>
      </c>
      <c r="B26" s="7" t="s">
        <v>131</v>
      </c>
      <c r="C26" s="19">
        <v>0.0</v>
      </c>
      <c r="D26" s="19">
        <v>0.0</v>
      </c>
      <c r="E26" s="19"/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6">
        <f>C26*PV_UPDATE+D26*PV_DEPLOY+E26*PV_HELP+F26*PV_BLOG+G26*PV_PR+H26*PV_BUILDNIGHT+I26*PV_MENTOR+J26*PV_DEMO</f>
        <v>0</v>
      </c>
    </row>
    <row r="27" ht="15.75" customHeight="1">
      <c r="A27" s="7" t="s">
        <v>132</v>
      </c>
      <c r="B27" s="7" t="s">
        <v>133</v>
      </c>
      <c r="C27" s="19">
        <v>0.0</v>
      </c>
      <c r="D27" s="19">
        <v>0.0</v>
      </c>
      <c r="E27" s="19"/>
      <c r="F27" s="19">
        <v>0.0</v>
      </c>
      <c r="G27" s="19">
        <v>0.0</v>
      </c>
      <c r="H27" s="19">
        <v>0.0</v>
      </c>
      <c r="I27" s="19">
        <v>0.0</v>
      </c>
      <c r="J27" s="19">
        <v>0.0</v>
      </c>
      <c r="K27" s="6">
        <f>C27*PV_UPDATE+D27*PV_DEPLOY+E27*PV_HELP+F27*PV_BLOG+G27*PV_PR+H27*PV_BUILDNIGHT+I27*PV_MENTOR+J27*PV_DEMO</f>
        <v>0</v>
      </c>
    </row>
    <row r="28" ht="15.75" customHeight="1">
      <c r="A28" s="7" t="s">
        <v>134</v>
      </c>
      <c r="B28" s="7" t="s">
        <v>135</v>
      </c>
      <c r="C28" s="19">
        <v>0.0</v>
      </c>
      <c r="D28" s="19">
        <v>0.0</v>
      </c>
      <c r="E28" s="19"/>
      <c r="F28" s="19">
        <v>0.0</v>
      </c>
      <c r="G28" s="19">
        <v>0.0</v>
      </c>
      <c r="H28" s="19">
        <v>0.0</v>
      </c>
      <c r="I28" s="19">
        <v>0.0</v>
      </c>
      <c r="J28" s="19">
        <v>0.0</v>
      </c>
      <c r="K28" s="6">
        <f>C28*PV_UPDATE+D28*PV_DEPLOY+E28*PV_HELP+F28*PV_BLOG+G28*PV_PR+H28*PV_BUILDNIGHT+I28*PV_MENTOR+J28*PV_DEMO</f>
        <v>0</v>
      </c>
    </row>
    <row r="29" ht="15.75" customHeight="1">
      <c r="A29" s="7" t="s">
        <v>136</v>
      </c>
      <c r="B29" s="7" t="s">
        <v>137</v>
      </c>
      <c r="C29" s="19">
        <v>0.0</v>
      </c>
      <c r="D29" s="19">
        <v>0.0</v>
      </c>
      <c r="E29" s="19"/>
      <c r="F29" s="19">
        <v>0.0</v>
      </c>
      <c r="G29" s="19">
        <v>0.0</v>
      </c>
      <c r="H29" s="19">
        <v>0.0</v>
      </c>
      <c r="I29" s="19">
        <v>0.0</v>
      </c>
      <c r="J29" s="19">
        <v>0.0</v>
      </c>
      <c r="K29" s="6">
        <f>C29*PV_UPDATE+D29*PV_DEPLOY+E29*PV_HELP+F29*PV_BLOG+G29*PV_PR+H29*PV_BUILDNIGHT+I29*PV_MENTOR+J29*PV_DEMO</f>
        <v>0</v>
      </c>
    </row>
    <row r="30" ht="15.75" customHeight="1">
      <c r="A30" s="7" t="s">
        <v>138</v>
      </c>
      <c r="B30" s="7" t="s">
        <v>139</v>
      </c>
      <c r="C30" s="18">
        <v>1.0</v>
      </c>
      <c r="D30" s="18">
        <v>1.0</v>
      </c>
      <c r="E30" s="18"/>
      <c r="F30" s="18">
        <v>1.0</v>
      </c>
      <c r="G30" s="18">
        <v>2.0</v>
      </c>
      <c r="H30" s="18">
        <v>1.0</v>
      </c>
      <c r="I30" s="19">
        <v>0.0</v>
      </c>
      <c r="J30" s="19">
        <v>0.0</v>
      </c>
      <c r="K30" s="6">
        <f>C30*PV_UPDATE+D30*PV_DEPLOY+E30*PV_HELP+F30*PV_BLOG+G30*PV_PR+H30*PV_BUILDNIGHT+I30*PV_MENTOR+J30*PV_DEMO</f>
        <v>110</v>
      </c>
    </row>
    <row r="31" ht="15.75" customHeight="1">
      <c r="A31" s="7" t="s">
        <v>140</v>
      </c>
      <c r="B31" s="7" t="s">
        <v>141</v>
      </c>
      <c r="C31" s="19">
        <v>0.0</v>
      </c>
      <c r="D31" s="19">
        <v>0.0</v>
      </c>
      <c r="E31" s="19"/>
      <c r="F31" s="19">
        <v>0.0</v>
      </c>
      <c r="G31" s="19">
        <v>0.0</v>
      </c>
      <c r="H31" s="19">
        <v>0.0</v>
      </c>
      <c r="I31" s="19">
        <v>0.0</v>
      </c>
      <c r="J31" s="19">
        <v>0.0</v>
      </c>
      <c r="K31" s="6">
        <f>C31*PV_UPDATE+D31*PV_DEPLOY+E31*PV_HELP+F31*PV_BLOG+G31*PV_PR+H31*PV_BUILDNIGHT+I31*PV_MENTOR+J31*PV_DEMO</f>
        <v>0</v>
      </c>
    </row>
    <row r="32" ht="15.75" customHeight="1">
      <c r="A32" s="7" t="s">
        <v>142</v>
      </c>
      <c r="B32" s="7" t="s">
        <v>143</v>
      </c>
      <c r="C32" s="19">
        <v>0.0</v>
      </c>
      <c r="D32" s="19">
        <v>0.0</v>
      </c>
      <c r="E32" s="19"/>
      <c r="F32" s="19">
        <v>0.0</v>
      </c>
      <c r="G32" s="19">
        <v>0.0</v>
      </c>
      <c r="H32" s="19">
        <v>0.0</v>
      </c>
      <c r="I32" s="19">
        <v>0.0</v>
      </c>
      <c r="J32" s="19">
        <v>0.0</v>
      </c>
      <c r="K32" s="6">
        <f>C32*PV_UPDATE+D32*PV_DEPLOY+E32*PV_HELP+F32*PV_BLOG+G32*PV_PR+H32*PV_BUILDNIGHT+I32*PV_MENTOR+J32*PV_DEMO</f>
        <v>0</v>
      </c>
    </row>
    <row r="33" ht="15.75" customHeight="1">
      <c r="A33" s="7" t="s">
        <v>144</v>
      </c>
      <c r="B33" s="7" t="s">
        <v>145</v>
      </c>
      <c r="C33" s="19">
        <v>0.0</v>
      </c>
      <c r="D33" s="19">
        <v>0.0</v>
      </c>
      <c r="E33" s="19"/>
      <c r="F33" s="19">
        <v>0.0</v>
      </c>
      <c r="G33" s="19">
        <v>0.0</v>
      </c>
      <c r="H33" s="19">
        <v>0.0</v>
      </c>
      <c r="I33" s="19">
        <v>0.0</v>
      </c>
      <c r="J33" s="19">
        <v>0.0</v>
      </c>
      <c r="K33" s="6">
        <f>C33*PV_UPDATE+D33*PV_DEPLOY+E33*PV_HELP+F33*PV_BLOG+G33*PV_PR+H33*PV_BUILDNIGHT+I33*PV_MENTOR+J33*PV_DEMO</f>
        <v>0</v>
      </c>
    </row>
    <row r="34" ht="15.75" customHeight="1">
      <c r="A34" s="7" t="s">
        <v>146</v>
      </c>
      <c r="B34" s="7" t="s">
        <v>147</v>
      </c>
      <c r="C34" s="19">
        <v>0.0</v>
      </c>
      <c r="D34" s="19">
        <v>0.0</v>
      </c>
      <c r="E34" s="19"/>
      <c r="F34" s="19">
        <v>0.0</v>
      </c>
      <c r="G34" s="19">
        <v>0.0</v>
      </c>
      <c r="H34" s="19">
        <v>0.0</v>
      </c>
      <c r="I34" s="19">
        <v>0.0</v>
      </c>
      <c r="J34" s="19">
        <v>0.0</v>
      </c>
      <c r="K34" s="6">
        <f>C34*PV_UPDATE+D34*PV_DEPLOY+E34*PV_HELP+F34*PV_BLOG+G34*PV_PR+H34*PV_BUILDNIGHT+I34*PV_MENTOR+J34*PV_DEMO</f>
        <v>0</v>
      </c>
    </row>
    <row r="35" ht="15.75" customHeight="1">
      <c r="A35" s="7" t="s">
        <v>148</v>
      </c>
      <c r="B35" s="7" t="s">
        <v>149</v>
      </c>
      <c r="C35" s="19">
        <v>0.0</v>
      </c>
      <c r="D35" s="19">
        <v>0.0</v>
      </c>
      <c r="E35" s="19"/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6">
        <f>C35*PV_UPDATE+D35*PV_DEPLOY+E35*PV_HELP+F35*PV_BLOG+G35*PV_PR+H35*PV_BUILDNIGHT+I35*PV_MENTOR+J35*PV_DEMO</f>
        <v>0</v>
      </c>
    </row>
    <row r="36" ht="15.75" customHeight="1">
      <c r="A36" s="7" t="s">
        <v>150</v>
      </c>
      <c r="B36" s="7" t="s">
        <v>151</v>
      </c>
      <c r="C36" s="19">
        <v>0.0</v>
      </c>
      <c r="D36" s="19">
        <v>0.0</v>
      </c>
      <c r="E36" s="19"/>
      <c r="F36" s="19">
        <v>0.0</v>
      </c>
      <c r="G36" s="19">
        <v>0.0</v>
      </c>
      <c r="H36" s="19">
        <v>0.0</v>
      </c>
      <c r="I36" s="19">
        <v>0.0</v>
      </c>
      <c r="J36" s="19">
        <v>0.0</v>
      </c>
      <c r="K36" s="6">
        <f>C36*PV_UPDATE+D36*PV_DEPLOY+E36*PV_HELP+F36*PV_BLOG+G36*PV_PR+H36*PV_BUILDNIGHT+I36*PV_MENTOR+J36*PV_DEMO</f>
        <v>0</v>
      </c>
    </row>
    <row r="37" ht="15.75" customHeight="1">
      <c r="A37" s="7" t="s">
        <v>152</v>
      </c>
      <c r="B37" s="7" t="s">
        <v>153</v>
      </c>
      <c r="C37" s="19">
        <v>0.0</v>
      </c>
      <c r="D37" s="19">
        <v>0.0</v>
      </c>
      <c r="E37" s="19"/>
      <c r="F37" s="19">
        <v>0.0</v>
      </c>
      <c r="G37" s="19">
        <v>0.0</v>
      </c>
      <c r="H37" s="19">
        <v>0.0</v>
      </c>
      <c r="I37" s="19">
        <v>0.0</v>
      </c>
      <c r="J37" s="19">
        <v>0.0</v>
      </c>
      <c r="K37" s="6">
        <f>C37*PV_UPDATE+D37*PV_DEPLOY+E37*PV_HELP+F37*PV_BLOG+G37*PV_PR+H37*PV_BUILDNIGHT+I37*PV_MENTOR+J37*PV_DEMO</f>
        <v>0</v>
      </c>
    </row>
    <row r="38" ht="15.75" customHeight="1">
      <c r="A38" s="7" t="s">
        <v>154</v>
      </c>
      <c r="B38" s="7" t="s">
        <v>155</v>
      </c>
      <c r="C38" s="19">
        <v>0.0</v>
      </c>
      <c r="D38" s="19">
        <v>0.0</v>
      </c>
      <c r="E38" s="19"/>
      <c r="F38" s="19">
        <v>0.0</v>
      </c>
      <c r="G38" s="19">
        <v>0.0</v>
      </c>
      <c r="H38" s="19">
        <v>0.0</v>
      </c>
      <c r="I38" s="19">
        <v>0.0</v>
      </c>
      <c r="J38" s="19">
        <v>0.0</v>
      </c>
      <c r="K38" s="6">
        <f>C38*PV_UPDATE+D38*PV_DEPLOY+E38*PV_HELP+F38*PV_BLOG+G38*PV_PR+H38*PV_BUILDNIGHT+I38*PV_MENTOR+J38*PV_DEMO</f>
        <v>0</v>
      </c>
    </row>
    <row r="39" ht="15.75" customHeight="1">
      <c r="A39" s="7" t="s">
        <v>156</v>
      </c>
      <c r="B39" s="7" t="s">
        <v>157</v>
      </c>
      <c r="C39" s="18">
        <v>1.0</v>
      </c>
      <c r="D39" s="18">
        <v>1.0</v>
      </c>
      <c r="E39" s="19"/>
      <c r="F39" s="18">
        <v>1.0</v>
      </c>
      <c r="G39" s="19">
        <v>0.0</v>
      </c>
      <c r="H39" s="18">
        <v>1.0</v>
      </c>
      <c r="I39" s="19">
        <v>0.0</v>
      </c>
      <c r="J39" s="19">
        <v>0.0</v>
      </c>
      <c r="K39" s="6">
        <f>C39*PV_UPDATE+D39*PV_DEPLOY+E39*PV_HELP+F39*PV_BLOG+G39*PV_PR+H39*PV_BUILDNIGHT+I39*PV_MENTOR+J39*PV_DEMO</f>
        <v>60</v>
      </c>
    </row>
    <row r="40" ht="15.75" customHeight="1">
      <c r="A40" s="7" t="s">
        <v>158</v>
      </c>
      <c r="B40" s="7" t="s">
        <v>159</v>
      </c>
      <c r="C40" s="19">
        <v>0.0</v>
      </c>
      <c r="D40" s="19">
        <v>0.0</v>
      </c>
      <c r="E40" s="19"/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6">
        <f>C40*PV_UPDATE+D40*PV_DEPLOY+E40*PV_HELP+F40*PV_BLOG+G40*PV_PR+H40*PV_BUILDNIGHT+I40*PV_MENTOR+J40*PV_DEMO</f>
        <v>0</v>
      </c>
    </row>
    <row r="41" ht="15.75" customHeight="1">
      <c r="A41" s="7" t="s">
        <v>160</v>
      </c>
      <c r="B41" s="7" t="s">
        <v>161</v>
      </c>
      <c r="C41" s="19">
        <v>0.0</v>
      </c>
      <c r="D41" s="19">
        <v>0.0</v>
      </c>
      <c r="E41" s="19"/>
      <c r="F41" s="19">
        <v>0.0</v>
      </c>
      <c r="G41" s="19">
        <v>0.0</v>
      </c>
      <c r="H41" s="19">
        <v>0.0</v>
      </c>
      <c r="I41" s="19">
        <v>0.0</v>
      </c>
      <c r="J41" s="19">
        <v>0.0</v>
      </c>
      <c r="K41" s="6">
        <f>C41*PV_UPDATE+D41*PV_DEPLOY+E41*PV_HELP+F41*PV_BLOG+G41*PV_PR+H41*PV_BUILDNIGHT+I41*PV_MENTOR+J41*PV_DEMO</f>
        <v>0</v>
      </c>
    </row>
    <row r="42" ht="15.75" customHeight="1">
      <c r="A42" s="7" t="s">
        <v>162</v>
      </c>
      <c r="B42" s="7" t="s">
        <v>163</v>
      </c>
      <c r="C42" s="19">
        <v>0.0</v>
      </c>
      <c r="D42" s="19">
        <v>0.0</v>
      </c>
      <c r="E42" s="19"/>
      <c r="F42" s="19">
        <v>0.0</v>
      </c>
      <c r="G42" s="19">
        <v>0.0</v>
      </c>
      <c r="H42" s="19">
        <v>0.0</v>
      </c>
      <c r="I42" s="19">
        <v>0.0</v>
      </c>
      <c r="J42" s="19">
        <v>0.0</v>
      </c>
      <c r="K42" s="6">
        <f>C42*PV_UPDATE+D42*PV_DEPLOY+E42*PV_HELP+F42*PV_BLOG+G42*PV_PR+H42*PV_BUILDNIGHT+I42*PV_MENTOR+J42*PV_DEMO</f>
        <v>0</v>
      </c>
    </row>
    <row r="43" ht="15.75" customHeight="1">
      <c r="A43" s="7" t="s">
        <v>164</v>
      </c>
      <c r="B43" s="7" t="s">
        <v>165</v>
      </c>
      <c r="C43" s="18">
        <v>1.0</v>
      </c>
      <c r="D43" s="18">
        <v>1.0</v>
      </c>
      <c r="E43" s="18"/>
      <c r="F43" s="19">
        <v>0.0</v>
      </c>
      <c r="G43" s="19">
        <v>0.0</v>
      </c>
      <c r="H43" s="18">
        <v>1.0</v>
      </c>
      <c r="I43" s="19">
        <v>0.0</v>
      </c>
      <c r="J43" s="19">
        <v>0.0</v>
      </c>
      <c r="K43" s="6">
        <f>C43*PV_UPDATE+D43*PV_DEPLOY+E43*PV_HELP+F43*PV_BLOG+G43*PV_PR+H43*PV_BUILDNIGHT+I43*PV_MENTOR+J43*PV_DEMO</f>
        <v>40</v>
      </c>
    </row>
    <row r="44" ht="15.75" customHeight="1">
      <c r="A44" s="7" t="s">
        <v>167</v>
      </c>
      <c r="B44" s="7" t="s">
        <v>168</v>
      </c>
      <c r="C44" s="19">
        <v>0.0</v>
      </c>
      <c r="D44" s="19">
        <v>0.0</v>
      </c>
      <c r="E44" s="19"/>
      <c r="F44" s="19">
        <v>0.0</v>
      </c>
      <c r="G44" s="19">
        <v>0.0</v>
      </c>
      <c r="H44" s="19">
        <v>0.0</v>
      </c>
      <c r="I44" s="19">
        <v>0.0</v>
      </c>
      <c r="J44" s="19">
        <v>0.0</v>
      </c>
      <c r="K44" s="6">
        <f>C44*PV_UPDATE+D44*PV_DEPLOY+E44*PV_HELP+F44*PV_BLOG+G44*PV_PR+H44*PV_BUILDNIGHT+I44*PV_MENTOR+J44*PV_DEMO</f>
        <v>0</v>
      </c>
    </row>
    <row r="45" ht="15.75" customHeight="1">
      <c r="A45" s="7" t="s">
        <v>169</v>
      </c>
      <c r="B45" s="7" t="s">
        <v>170</v>
      </c>
      <c r="C45" s="19">
        <v>0.0</v>
      </c>
      <c r="D45" s="19">
        <v>0.0</v>
      </c>
      <c r="E45" s="19"/>
      <c r="F45" s="19">
        <v>0.0</v>
      </c>
      <c r="G45" s="19">
        <v>0.0</v>
      </c>
      <c r="H45" s="19">
        <v>0.0</v>
      </c>
      <c r="I45" s="19">
        <v>0.0</v>
      </c>
      <c r="J45" s="19">
        <v>0.0</v>
      </c>
      <c r="K45" s="6">
        <f>C45*PV_UPDATE+D45*PV_DEPLOY+E45*PV_HELP+F45*PV_BLOG+G45*PV_PR+H45*PV_BUILDNIGHT+I45*PV_MENTOR+J45*PV_DEMO</f>
        <v>0</v>
      </c>
    </row>
    <row r="46" ht="15.75" customHeight="1">
      <c r="A46" s="7" t="s">
        <v>171</v>
      </c>
      <c r="B46" s="7" t="s">
        <v>172</v>
      </c>
      <c r="C46" s="19">
        <v>0.0</v>
      </c>
      <c r="D46" s="19">
        <v>0.0</v>
      </c>
      <c r="E46" s="19"/>
      <c r="F46" s="19">
        <v>0.0</v>
      </c>
      <c r="G46" s="19">
        <v>0.0</v>
      </c>
      <c r="H46" s="19">
        <v>0.0</v>
      </c>
      <c r="I46" s="19">
        <v>0.0</v>
      </c>
      <c r="J46" s="19">
        <v>0.0</v>
      </c>
      <c r="K46" s="6">
        <f>C46*PV_UPDATE+D46*PV_DEPLOY+E46*PV_HELP+F46*PV_BLOG+G46*PV_PR+H46*PV_BUILDNIGHT+I46*PV_MENTOR+J46*PV_DEMO</f>
        <v>0</v>
      </c>
    </row>
    <row r="47" ht="15.75" customHeight="1">
      <c r="A47" s="7" t="s">
        <v>173</v>
      </c>
      <c r="B47" s="17" t="s">
        <v>503</v>
      </c>
      <c r="C47" s="18">
        <v>1.0</v>
      </c>
      <c r="D47" s="18">
        <v>1.0</v>
      </c>
      <c r="E47" s="19"/>
      <c r="F47" s="18">
        <v>2.0</v>
      </c>
      <c r="G47" s="19">
        <v>0.0</v>
      </c>
      <c r="H47" s="18">
        <v>1.0</v>
      </c>
      <c r="I47" s="19">
        <v>0.0</v>
      </c>
      <c r="J47" s="19">
        <v>0.0</v>
      </c>
      <c r="K47" s="6">
        <f>C47*PV_UPDATE+D47*PV_DEPLOY+E47*PV_HELP+F47*PV_BLOG+G47*PV_PR+H47*PV_BUILDNIGHT+I47*PV_MENTOR+J47*PV_DEMO</f>
        <v>80</v>
      </c>
    </row>
    <row r="48" ht="15.75" customHeight="1">
      <c r="A48" s="7" t="s">
        <v>175</v>
      </c>
      <c r="B48" s="7" t="s">
        <v>176</v>
      </c>
      <c r="C48" s="19">
        <v>0.0</v>
      </c>
      <c r="D48" s="19">
        <v>0.0</v>
      </c>
      <c r="E48" s="19"/>
      <c r="F48" s="19">
        <v>0.0</v>
      </c>
      <c r="G48" s="19">
        <v>0.0</v>
      </c>
      <c r="H48" s="19">
        <v>0.0</v>
      </c>
      <c r="I48" s="19">
        <v>0.0</v>
      </c>
      <c r="J48" s="19">
        <v>0.0</v>
      </c>
      <c r="K48" s="6">
        <f>C48*PV_UPDATE+D48*PV_DEPLOY+E48*PV_HELP+F48*PV_BLOG+G48*PV_PR+H48*PV_BUILDNIGHT+I48*PV_MENTOR+J48*PV_DEMO</f>
        <v>0</v>
      </c>
    </row>
    <row r="49" ht="15.75" customHeight="1">
      <c r="A49" s="7" t="s">
        <v>177</v>
      </c>
      <c r="B49" s="7" t="s">
        <v>178</v>
      </c>
      <c r="C49" s="19">
        <v>0.0</v>
      </c>
      <c r="D49" s="19">
        <v>0.0</v>
      </c>
      <c r="E49" s="19"/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6">
        <f>C49*PV_UPDATE+D49*PV_DEPLOY+E49*PV_HELP+F49*PV_BLOG+G49*PV_PR+H49*PV_BUILDNIGHT+I49*PV_MENTOR+J49*PV_DEMO</f>
        <v>0</v>
      </c>
    </row>
    <row r="50" ht="15.75" customHeight="1">
      <c r="A50" s="7" t="s">
        <v>179</v>
      </c>
      <c r="B50" s="7" t="s">
        <v>180</v>
      </c>
      <c r="C50" s="19">
        <v>0.0</v>
      </c>
      <c r="D50" s="19">
        <v>0.0</v>
      </c>
      <c r="E50" s="19"/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6">
        <f>C50*PV_UPDATE+D50*PV_DEPLOY+E50*PV_HELP+F50*PV_BLOG+G50*PV_PR+H50*PV_BUILDNIGHT+I50*PV_MENTOR+J50*PV_DEMO</f>
        <v>0</v>
      </c>
    </row>
    <row r="51" ht="15.75" customHeight="1">
      <c r="A51" s="7" t="s">
        <v>181</v>
      </c>
      <c r="B51" s="7" t="s">
        <v>182</v>
      </c>
      <c r="C51" s="19">
        <v>0.0</v>
      </c>
      <c r="D51" s="19">
        <v>0.0</v>
      </c>
      <c r="E51" s="19"/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6">
        <f>C51*PV_UPDATE+D51*PV_DEPLOY+E51*PV_HELP+F51*PV_BLOG+G51*PV_PR+H51*PV_BUILDNIGHT+I51*PV_MENTOR+J51*PV_DEMO</f>
        <v>0</v>
      </c>
    </row>
    <row r="52" ht="15.75" customHeight="1">
      <c r="A52" s="7" t="s">
        <v>183</v>
      </c>
      <c r="B52" s="7" t="s">
        <v>184</v>
      </c>
      <c r="C52" s="19">
        <v>0.0</v>
      </c>
      <c r="D52" s="19">
        <v>0.0</v>
      </c>
      <c r="E52" s="19"/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6">
        <f>C52*PV_UPDATE+D52*PV_DEPLOY+E52*PV_HELP+F52*PV_BLOG+G52*PV_PR+H52*PV_BUILDNIGHT+I52*PV_MENTOR+J52*PV_DEMO</f>
        <v>0</v>
      </c>
    </row>
    <row r="53" ht="15.75" customHeight="1">
      <c r="A53" s="7" t="s">
        <v>185</v>
      </c>
      <c r="B53" s="7" t="s">
        <v>186</v>
      </c>
      <c r="C53" s="18">
        <v>1.0</v>
      </c>
      <c r="D53" s="18">
        <v>1.0</v>
      </c>
      <c r="E53" s="19"/>
      <c r="F53" s="18">
        <v>2.0</v>
      </c>
      <c r="G53" s="19">
        <v>0.0</v>
      </c>
      <c r="H53" s="18">
        <v>1.0</v>
      </c>
      <c r="I53" s="19">
        <v>0.0</v>
      </c>
      <c r="J53" s="19">
        <v>0.0</v>
      </c>
      <c r="K53" s="6">
        <f>C53*PV_UPDATE+D53*PV_DEPLOY+E53*PV_HELP+F53*PV_BLOG+G53*PV_PR+H53*PV_BUILDNIGHT+I53*PV_MENTOR+J53*PV_DEMO</f>
        <v>80</v>
      </c>
    </row>
    <row r="54" ht="15.75" customHeight="1">
      <c r="A54" s="7" t="s">
        <v>187</v>
      </c>
      <c r="B54" s="7" t="s">
        <v>188</v>
      </c>
      <c r="C54" s="18">
        <v>1.0</v>
      </c>
      <c r="D54" s="18">
        <v>1.0</v>
      </c>
      <c r="E54" s="19"/>
      <c r="F54" s="18">
        <v>1.0</v>
      </c>
      <c r="G54" s="19">
        <v>0.0</v>
      </c>
      <c r="H54" s="18">
        <v>1.0</v>
      </c>
      <c r="I54" s="19">
        <v>0.0</v>
      </c>
      <c r="J54" s="19">
        <v>0.0</v>
      </c>
      <c r="K54" s="6">
        <f>C54*PV_UPDATE+D54*PV_DEPLOY+E54*PV_HELP+F54*PV_BLOG+G54*PV_PR+H54*PV_BUILDNIGHT+I54*PV_MENTOR+J54*PV_DEMO</f>
        <v>60</v>
      </c>
    </row>
    <row r="55" ht="15.75" customHeight="1">
      <c r="A55" s="7" t="s">
        <v>189</v>
      </c>
      <c r="B55" s="7" t="s">
        <v>190</v>
      </c>
      <c r="C55" s="19">
        <v>0.0</v>
      </c>
      <c r="D55" s="19">
        <v>0.0</v>
      </c>
      <c r="E55" s="19"/>
      <c r="F55" s="19">
        <v>0.0</v>
      </c>
      <c r="G55" s="19">
        <v>0.0</v>
      </c>
      <c r="H55" s="19">
        <v>0.0</v>
      </c>
      <c r="I55" s="19">
        <v>0.0</v>
      </c>
      <c r="J55" s="19">
        <v>0.0</v>
      </c>
      <c r="K55" s="6">
        <f>C55*PV_UPDATE+D55*PV_DEPLOY+E55*PV_HELP+F55*PV_BLOG+G55*PV_PR+H55*PV_BUILDNIGHT+I55*PV_MENTOR+J55*PV_DEMO</f>
        <v>0</v>
      </c>
    </row>
    <row r="56" ht="15.75" customHeight="1">
      <c r="A56" s="7" t="s">
        <v>191</v>
      </c>
      <c r="B56" s="7" t="s">
        <v>192</v>
      </c>
      <c r="C56" s="19">
        <v>0.0</v>
      </c>
      <c r="D56" s="19">
        <v>0.0</v>
      </c>
      <c r="E56" s="19"/>
      <c r="F56" s="19">
        <v>0.0</v>
      </c>
      <c r="G56" s="19">
        <v>0.0</v>
      </c>
      <c r="H56" s="19">
        <v>0.0</v>
      </c>
      <c r="I56" s="19">
        <v>0.0</v>
      </c>
      <c r="J56" s="19">
        <v>0.0</v>
      </c>
      <c r="K56" s="6">
        <f>C56*PV_UPDATE+D56*PV_DEPLOY+E56*PV_HELP+F56*PV_BLOG+G56*PV_PR+H56*PV_BUILDNIGHT+I56*PV_MENTOR+J56*PV_DEMO</f>
        <v>0</v>
      </c>
    </row>
    <row r="57" ht="15.75" customHeight="1">
      <c r="A57" s="7" t="s">
        <v>193</v>
      </c>
      <c r="B57" s="7" t="s">
        <v>194</v>
      </c>
      <c r="C57" s="19">
        <v>0.0</v>
      </c>
      <c r="D57" s="19">
        <v>0.0</v>
      </c>
      <c r="E57" s="19"/>
      <c r="F57" s="19">
        <v>0.0</v>
      </c>
      <c r="G57" s="19">
        <v>0.0</v>
      </c>
      <c r="H57" s="19">
        <v>0.0</v>
      </c>
      <c r="I57" s="19">
        <v>0.0</v>
      </c>
      <c r="J57" s="19">
        <v>0.0</v>
      </c>
      <c r="K57" s="6">
        <f>C57*PV_UPDATE+D57*PV_DEPLOY+E57*PV_HELP+F57*PV_BLOG+G57*PV_PR+H57*PV_BUILDNIGHT+I57*PV_MENTOR+J57*PV_DEMO</f>
        <v>0</v>
      </c>
    </row>
    <row r="58" ht="15.75" customHeight="1">
      <c r="A58" s="7" t="s">
        <v>195</v>
      </c>
      <c r="B58" s="7" t="s">
        <v>196</v>
      </c>
      <c r="C58" s="19">
        <v>0.0</v>
      </c>
      <c r="D58" s="19">
        <v>0.0</v>
      </c>
      <c r="E58" s="19"/>
      <c r="F58" s="19">
        <v>0.0</v>
      </c>
      <c r="G58" s="19">
        <v>0.0</v>
      </c>
      <c r="H58" s="19">
        <v>0.0</v>
      </c>
      <c r="I58" s="19">
        <v>0.0</v>
      </c>
      <c r="J58" s="19">
        <v>0.0</v>
      </c>
      <c r="K58" s="6">
        <f>C58*PV_UPDATE+D58*PV_DEPLOY+E58*PV_HELP+F58*PV_BLOG+G58*PV_PR+H58*PV_BUILDNIGHT+I58*PV_MENTOR+J58*PV_DEMO</f>
        <v>0</v>
      </c>
    </row>
    <row r="59" ht="15.75" customHeight="1">
      <c r="A59" s="7" t="s">
        <v>197</v>
      </c>
      <c r="B59" s="7" t="s">
        <v>198</v>
      </c>
      <c r="C59" s="19">
        <v>0.0</v>
      </c>
      <c r="D59" s="19">
        <v>0.0</v>
      </c>
      <c r="E59" s="19"/>
      <c r="F59" s="19">
        <v>0.0</v>
      </c>
      <c r="G59" s="19">
        <v>0.0</v>
      </c>
      <c r="H59" s="19">
        <v>0.0</v>
      </c>
      <c r="I59" s="19">
        <v>0.0</v>
      </c>
      <c r="J59" s="19">
        <v>0.0</v>
      </c>
      <c r="K59" s="6">
        <f>C59*PV_UPDATE+D59*PV_DEPLOY+E59*PV_HELP+F59*PV_BLOG+G59*PV_PR+H59*PV_BUILDNIGHT+I59*PV_MENTOR+J59*PV_DEMO</f>
        <v>0</v>
      </c>
    </row>
    <row r="60" ht="15.75" customHeight="1">
      <c r="A60" s="7" t="s">
        <v>199</v>
      </c>
      <c r="B60" s="7" t="s">
        <v>200</v>
      </c>
      <c r="C60" s="19">
        <v>0.0</v>
      </c>
      <c r="D60" s="19">
        <v>0.0</v>
      </c>
      <c r="E60" s="19"/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6">
        <f>C60*PV_UPDATE+D60*PV_DEPLOY+E60*PV_HELP+F60*PV_BLOG+G60*PV_PR+H60*PV_BUILDNIGHT+I60*PV_MENTOR+J60*PV_DEMO</f>
        <v>0</v>
      </c>
    </row>
    <row r="61" ht="15.75" customHeight="1">
      <c r="A61" s="7" t="s">
        <v>201</v>
      </c>
      <c r="B61" s="7" t="s">
        <v>202</v>
      </c>
      <c r="C61" s="19">
        <v>0.0</v>
      </c>
      <c r="D61" s="19">
        <v>0.0</v>
      </c>
      <c r="E61" s="19"/>
      <c r="F61" s="19">
        <v>0.0</v>
      </c>
      <c r="G61" s="19">
        <v>0.0</v>
      </c>
      <c r="H61" s="19">
        <v>0.0</v>
      </c>
      <c r="I61" s="19">
        <v>0.0</v>
      </c>
      <c r="J61" s="19">
        <v>0.0</v>
      </c>
      <c r="K61" s="6">
        <f>C61*PV_UPDATE+D61*PV_DEPLOY+E61*PV_HELP+F61*PV_BLOG+G61*PV_PR+H61*PV_BUILDNIGHT+I61*PV_MENTOR+J61*PV_DEMO</f>
        <v>0</v>
      </c>
    </row>
    <row r="62" ht="15.75" customHeight="1">
      <c r="A62" s="7" t="s">
        <v>203</v>
      </c>
      <c r="B62" s="7" t="s">
        <v>204</v>
      </c>
      <c r="C62" s="19">
        <v>0.0</v>
      </c>
      <c r="D62" s="19">
        <v>0.0</v>
      </c>
      <c r="E62" s="19"/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6">
        <f>C62*PV_UPDATE+D62*PV_DEPLOY+E62*PV_HELP+F62*PV_BLOG+G62*PV_PR+H62*PV_BUILDNIGHT+I62*PV_MENTOR+J62*PV_DEMO</f>
        <v>0</v>
      </c>
    </row>
    <row r="63" ht="15.75" customHeight="1">
      <c r="A63" s="7" t="s">
        <v>205</v>
      </c>
      <c r="B63" s="7" t="s">
        <v>206</v>
      </c>
      <c r="C63" s="19">
        <v>0.0</v>
      </c>
      <c r="D63" s="19">
        <v>0.0</v>
      </c>
      <c r="E63" s="19"/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6">
        <f>C63*PV_UPDATE+D63*PV_DEPLOY+E63*PV_HELP+F63*PV_BLOG+G63*PV_PR+H63*PV_BUILDNIGHT+I63*PV_MENTOR+J63*PV_DEMO</f>
        <v>0</v>
      </c>
    </row>
    <row r="64" ht="15.75" customHeight="1">
      <c r="A64" s="7" t="s">
        <v>207</v>
      </c>
      <c r="B64" s="7" t="s">
        <v>208</v>
      </c>
      <c r="C64" s="19">
        <v>0.0</v>
      </c>
      <c r="D64" s="19">
        <v>0.0</v>
      </c>
      <c r="E64" s="19"/>
      <c r="F64" s="18">
        <v>1.0</v>
      </c>
      <c r="G64" s="19">
        <v>0.0</v>
      </c>
      <c r="H64" s="18">
        <v>1.0</v>
      </c>
      <c r="I64" s="19">
        <v>0.0</v>
      </c>
      <c r="J64" s="19">
        <v>0.0</v>
      </c>
      <c r="K64" s="6">
        <f>C64*PV_UPDATE+D64*PV_DEPLOY+E64*PV_HELP+F64*PV_BLOG+G64*PV_PR+H64*PV_BUILDNIGHT+I64*PV_MENTOR+J64*PV_DEMO</f>
        <v>35</v>
      </c>
    </row>
    <row r="65" ht="15.75" customHeight="1">
      <c r="A65" s="7" t="s">
        <v>209</v>
      </c>
      <c r="B65" s="7" t="s">
        <v>210</v>
      </c>
      <c r="C65" s="19">
        <v>0.0</v>
      </c>
      <c r="D65" s="19">
        <v>0.0</v>
      </c>
      <c r="E65" s="19"/>
      <c r="F65" s="19">
        <v>0.0</v>
      </c>
      <c r="G65" s="19">
        <v>0.0</v>
      </c>
      <c r="H65" s="19">
        <v>0.0</v>
      </c>
      <c r="I65" s="19">
        <v>0.0</v>
      </c>
      <c r="J65" s="19">
        <v>0.0</v>
      </c>
      <c r="K65" s="6">
        <f>C65*PV_UPDATE+D65*PV_DEPLOY+E65*PV_HELP+F65*PV_BLOG+G65*PV_PR+H65*PV_BUILDNIGHT+I65*PV_MENTOR+J65*PV_DEMO</f>
        <v>0</v>
      </c>
    </row>
    <row r="66" ht="15.75" customHeight="1">
      <c r="A66" s="7" t="s">
        <v>211</v>
      </c>
      <c r="B66" s="7" t="s">
        <v>212</v>
      </c>
      <c r="C66" s="19">
        <v>0.0</v>
      </c>
      <c r="D66" s="19">
        <v>0.0</v>
      </c>
      <c r="E66" s="19"/>
      <c r="F66" s="19">
        <v>0.0</v>
      </c>
      <c r="G66" s="19">
        <v>0.0</v>
      </c>
      <c r="H66" s="19">
        <v>0.0</v>
      </c>
      <c r="I66" s="19">
        <v>0.0</v>
      </c>
      <c r="J66" s="19">
        <v>0.0</v>
      </c>
      <c r="K66" s="6">
        <f>C66*PV_UPDATE+D66*PV_DEPLOY+E66*PV_HELP+F66*PV_BLOG+G66*PV_PR+H66*PV_BUILDNIGHT+I66*PV_MENTOR+J66*PV_DEMO</f>
        <v>0</v>
      </c>
    </row>
    <row r="67" ht="15.75" customHeight="1">
      <c r="A67" s="7" t="s">
        <v>213</v>
      </c>
      <c r="B67" s="7" t="s">
        <v>214</v>
      </c>
      <c r="C67" s="19">
        <v>0.0</v>
      </c>
      <c r="D67" s="19">
        <v>0.0</v>
      </c>
      <c r="E67" s="19"/>
      <c r="F67" s="19">
        <v>0.0</v>
      </c>
      <c r="G67" s="19">
        <v>0.0</v>
      </c>
      <c r="H67" s="19">
        <v>0.0</v>
      </c>
      <c r="I67" s="19">
        <v>0.0</v>
      </c>
      <c r="J67" s="19">
        <v>0.0</v>
      </c>
      <c r="K67" s="6">
        <f>C67*PV_UPDATE+D67*PV_DEPLOY+E67*PV_HELP+F67*PV_BLOG+G67*PV_PR+H67*PV_BUILDNIGHT+I67*PV_MENTOR+J67*PV_DEMO</f>
        <v>0</v>
      </c>
    </row>
    <row r="68" ht="15.75" customHeight="1">
      <c r="A68" s="7" t="s">
        <v>215</v>
      </c>
      <c r="B68" s="7" t="s">
        <v>216</v>
      </c>
      <c r="C68" s="18">
        <v>1.0</v>
      </c>
      <c r="D68" s="18">
        <v>1.0</v>
      </c>
      <c r="E68" s="19"/>
      <c r="F68" s="19">
        <v>0.0</v>
      </c>
      <c r="G68" s="19">
        <v>0.0</v>
      </c>
      <c r="H68" s="18">
        <v>1.0</v>
      </c>
      <c r="I68" s="19">
        <v>0.0</v>
      </c>
      <c r="J68" s="19">
        <v>0.0</v>
      </c>
      <c r="K68" s="6">
        <f>C68*PV_UPDATE+D68*PV_DEPLOY+E68*PV_HELP+F68*PV_BLOG+G68*PV_PR+H68*PV_BUILDNIGHT+I68*PV_MENTOR+J68*PV_DEMO</f>
        <v>40</v>
      </c>
    </row>
    <row r="69" ht="15.75" customHeight="1">
      <c r="A69" s="7" t="s">
        <v>217</v>
      </c>
      <c r="B69" s="7" t="s">
        <v>218</v>
      </c>
      <c r="C69" s="19">
        <v>0.0</v>
      </c>
      <c r="D69" s="19">
        <v>0.0</v>
      </c>
      <c r="E69" s="19"/>
      <c r="F69" s="19">
        <v>0.0</v>
      </c>
      <c r="G69" s="19">
        <v>0.0</v>
      </c>
      <c r="H69" s="19">
        <v>0.0</v>
      </c>
      <c r="I69" s="19">
        <v>0.0</v>
      </c>
      <c r="J69" s="19">
        <v>0.0</v>
      </c>
      <c r="K69" s="6">
        <f>C69*PV_UPDATE+D69*PV_DEPLOY+E69*PV_HELP+F69*PV_BLOG+G69*PV_PR+H69*PV_BUILDNIGHT+I69*PV_MENTOR+J69*PV_DEMO</f>
        <v>0</v>
      </c>
    </row>
    <row r="70" ht="15.75" customHeight="1">
      <c r="A70" s="7" t="s">
        <v>219</v>
      </c>
      <c r="B70" s="7" t="s">
        <v>220</v>
      </c>
      <c r="C70" s="19">
        <v>0.0</v>
      </c>
      <c r="D70" s="19">
        <v>0.0</v>
      </c>
      <c r="E70" s="19"/>
      <c r="F70" s="19">
        <v>0.0</v>
      </c>
      <c r="G70" s="19">
        <v>0.0</v>
      </c>
      <c r="H70" s="19">
        <v>0.0</v>
      </c>
      <c r="I70" s="19">
        <v>0.0</v>
      </c>
      <c r="J70" s="19">
        <v>0.0</v>
      </c>
      <c r="K70" s="6">
        <f>C70*PV_UPDATE+D70*PV_DEPLOY+E70*PV_HELP+F70*PV_BLOG+G70*PV_PR+H70*PV_BUILDNIGHT+I70*PV_MENTOR+J70*PV_DEMO</f>
        <v>0</v>
      </c>
    </row>
    <row r="71" ht="15.75" customHeight="1">
      <c r="A71" s="7" t="s">
        <v>221</v>
      </c>
      <c r="B71" s="7" t="s">
        <v>222</v>
      </c>
      <c r="C71" s="19">
        <v>0.0</v>
      </c>
      <c r="D71" s="19">
        <v>0.0</v>
      </c>
      <c r="E71" s="19"/>
      <c r="F71" s="19">
        <v>0.0</v>
      </c>
      <c r="G71" s="19">
        <v>0.0</v>
      </c>
      <c r="H71" s="19">
        <v>0.0</v>
      </c>
      <c r="I71" s="19">
        <v>0.0</v>
      </c>
      <c r="J71" s="19">
        <v>0.0</v>
      </c>
      <c r="K71" s="6">
        <f>C71*PV_UPDATE+D71*PV_DEPLOY+E71*PV_HELP+F71*PV_BLOG+G71*PV_PR+H71*PV_BUILDNIGHT+I71*PV_MENTOR+J71*PV_DEMO</f>
        <v>0</v>
      </c>
    </row>
    <row r="72" ht="15.75" customHeight="1">
      <c r="A72" s="7" t="s">
        <v>223</v>
      </c>
      <c r="B72" s="7" t="s">
        <v>224</v>
      </c>
      <c r="C72" s="19">
        <v>0.0</v>
      </c>
      <c r="D72" s="19">
        <v>0.0</v>
      </c>
      <c r="E72" s="19"/>
      <c r="F72" s="19">
        <v>0.0</v>
      </c>
      <c r="G72" s="19">
        <v>0.0</v>
      </c>
      <c r="H72" s="19">
        <v>0.0</v>
      </c>
      <c r="I72" s="19">
        <v>0.0</v>
      </c>
      <c r="J72" s="19">
        <v>0.0</v>
      </c>
      <c r="K72" s="6">
        <f>C72*PV_UPDATE+D72*PV_DEPLOY+E72*PV_HELP+F72*PV_BLOG+G72*PV_PR+H72*PV_BUILDNIGHT+I72*PV_MENTOR+J72*PV_DEMO</f>
        <v>0</v>
      </c>
    </row>
    <row r="73" ht="15.75" customHeight="1">
      <c r="A73" s="7" t="s">
        <v>225</v>
      </c>
      <c r="B73" s="7" t="s">
        <v>226</v>
      </c>
      <c r="C73" s="19">
        <v>0.0</v>
      </c>
      <c r="D73" s="19">
        <v>0.0</v>
      </c>
      <c r="E73" s="19"/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6">
        <f>C73*PV_UPDATE+D73*PV_DEPLOY+E73*PV_HELP+F73*PV_BLOG+G73*PV_PR+H73*PV_BUILDNIGHT+I73*PV_MENTOR+J73*PV_DEMO</f>
        <v>0</v>
      </c>
    </row>
    <row r="74" ht="15.75" customHeight="1">
      <c r="A74" s="7" t="s">
        <v>227</v>
      </c>
      <c r="B74" s="7" t="s">
        <v>228</v>
      </c>
      <c r="C74" s="19">
        <v>0.0</v>
      </c>
      <c r="D74" s="19">
        <v>0.0</v>
      </c>
      <c r="E74" s="19"/>
      <c r="F74" s="19">
        <v>0.0</v>
      </c>
      <c r="G74" s="19">
        <v>0.0</v>
      </c>
      <c r="H74" s="19">
        <v>0.0</v>
      </c>
      <c r="I74" s="19">
        <v>0.0</v>
      </c>
      <c r="J74" s="19">
        <v>0.0</v>
      </c>
      <c r="K74" s="6">
        <f>C74*PV_UPDATE+D74*PV_DEPLOY+E74*PV_HELP+F74*PV_BLOG+G74*PV_PR+H74*PV_BUILDNIGHT+I74*PV_MENTOR+J74*PV_DEMO</f>
        <v>0</v>
      </c>
    </row>
    <row r="75" ht="15.75" customHeight="1">
      <c r="A75" s="7" t="s">
        <v>229</v>
      </c>
      <c r="B75" s="17" t="s">
        <v>275</v>
      </c>
      <c r="C75" s="18">
        <v>1.0</v>
      </c>
      <c r="D75" s="19">
        <v>0.0</v>
      </c>
      <c r="E75" s="19"/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6">
        <f>C75*PV_UPDATE+D75*PV_DEPLOY+E75*PV_HELP+F75*PV_BLOG+G75*PV_PR+H75*PV_BUILDNIGHT+I75*PV_MENTOR+J75*PV_DEMO</f>
        <v>10</v>
      </c>
    </row>
    <row r="76" ht="15.75" customHeight="1">
      <c r="A76" s="7" t="s">
        <v>231</v>
      </c>
      <c r="B76" s="7" t="s">
        <v>232</v>
      </c>
      <c r="C76" s="19">
        <v>0.0</v>
      </c>
      <c r="D76" s="19">
        <v>0.0</v>
      </c>
      <c r="E76" s="19"/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6">
        <f>C76*PV_UPDATE+D76*PV_DEPLOY+E76*PV_HELP+F76*PV_BLOG+G76*PV_PR+H76*PV_BUILDNIGHT+I76*PV_MENTOR+J76*PV_DEMO</f>
        <v>0</v>
      </c>
    </row>
    <row r="77" ht="15.75" customHeight="1">
      <c r="A77" s="7" t="s">
        <v>233</v>
      </c>
      <c r="B77" s="7" t="s">
        <v>234</v>
      </c>
      <c r="C77" s="19">
        <v>0.0</v>
      </c>
      <c r="D77" s="19">
        <v>0.0</v>
      </c>
      <c r="E77" s="19"/>
      <c r="F77" s="19">
        <v>0.0</v>
      </c>
      <c r="G77" s="19">
        <v>0.0</v>
      </c>
      <c r="H77" s="18">
        <v>1.0</v>
      </c>
      <c r="I77" s="19">
        <v>0.0</v>
      </c>
      <c r="J77" s="19">
        <v>0.0</v>
      </c>
      <c r="K77" s="6">
        <f>C77*PV_UPDATE+D77*PV_DEPLOY+E77*PV_HELP+F77*PV_BLOG+G77*PV_PR+H77*PV_BUILDNIGHT+I77*PV_MENTOR+J77*PV_DEMO</f>
        <v>15</v>
      </c>
    </row>
    <row r="78" ht="15.75" customHeight="1">
      <c r="A78" s="7" t="s">
        <v>235</v>
      </c>
      <c r="B78" s="7" t="s">
        <v>236</v>
      </c>
      <c r="C78" s="18">
        <v>1.0</v>
      </c>
      <c r="D78" s="18">
        <v>1.0</v>
      </c>
      <c r="E78" s="19"/>
      <c r="F78" s="18">
        <v>2.0</v>
      </c>
      <c r="G78" s="19">
        <v>0.0</v>
      </c>
      <c r="H78" s="18">
        <v>1.0</v>
      </c>
      <c r="I78" s="19">
        <v>0.0</v>
      </c>
      <c r="J78" s="19">
        <v>0.0</v>
      </c>
      <c r="K78" s="6">
        <f>C78*PV_UPDATE+D78*PV_DEPLOY+E78*PV_HELP+F78*PV_BLOG+G78*PV_PR+H78*PV_BUILDNIGHT+I78*PV_MENTOR+J78*PV_DEMO</f>
        <v>80</v>
      </c>
    </row>
    <row r="79" ht="15.75" customHeight="1">
      <c r="A79" s="7" t="s">
        <v>237</v>
      </c>
      <c r="B79" s="7" t="s">
        <v>238</v>
      </c>
      <c r="C79" s="18">
        <v>1.0</v>
      </c>
      <c r="D79" s="18">
        <v>1.0</v>
      </c>
      <c r="E79" s="18"/>
      <c r="F79" s="18">
        <v>2.0</v>
      </c>
      <c r="G79" s="18">
        <v>2.0</v>
      </c>
      <c r="H79" s="18">
        <v>1.0</v>
      </c>
      <c r="I79" s="19">
        <v>0.0</v>
      </c>
      <c r="J79" s="19">
        <v>0.0</v>
      </c>
      <c r="K79" s="6">
        <f>C79*PV_UPDATE+D79*PV_DEPLOY+E79*PV_HELP+F79*PV_BLOG+G79*PV_PR+H79*PV_BUILDNIGHT+I79*PV_MENTOR+J79*PV_DEMO</f>
        <v>130</v>
      </c>
    </row>
    <row r="80" ht="15.75" customHeight="1">
      <c r="A80" s="7" t="s">
        <v>239</v>
      </c>
      <c r="B80" s="7" t="s">
        <v>240</v>
      </c>
      <c r="C80" s="19">
        <v>0.0</v>
      </c>
      <c r="D80" s="18">
        <v>0.0</v>
      </c>
      <c r="E80" s="19"/>
      <c r="F80" s="19">
        <v>0.0</v>
      </c>
      <c r="G80" s="19">
        <v>0.0</v>
      </c>
      <c r="H80" s="19">
        <v>0.0</v>
      </c>
      <c r="I80" s="19">
        <v>0.0</v>
      </c>
      <c r="J80" s="19">
        <v>0.0</v>
      </c>
      <c r="K80" s="6">
        <f>C80*PV_UPDATE+D80*PV_DEPLOY+E80*PV_HELP+F80*PV_BLOG+G80*PV_PR+H80*PV_BUILDNIGHT+I80*PV_MENTOR+J80*PV_DEMO</f>
        <v>0</v>
      </c>
    </row>
    <row r="81" ht="15.75" customHeight="1">
      <c r="A81" s="7" t="s">
        <v>241</v>
      </c>
      <c r="B81" s="7" t="s">
        <v>242</v>
      </c>
      <c r="C81" s="18">
        <v>1.0</v>
      </c>
      <c r="D81" s="18">
        <v>1.0</v>
      </c>
      <c r="E81" s="19"/>
      <c r="F81" s="18">
        <v>1.0</v>
      </c>
      <c r="G81" s="19">
        <v>0.0</v>
      </c>
      <c r="H81" s="18">
        <v>1.0</v>
      </c>
      <c r="I81" s="19">
        <v>0.0</v>
      </c>
      <c r="J81" s="19">
        <v>0.0</v>
      </c>
      <c r="K81" s="6">
        <f>C81*PV_UPDATE+D81*PV_DEPLOY+E81*PV_HELP+F81*PV_BLOG+G81*PV_PR+H81*PV_BUILDNIGHT+I81*PV_MENTOR+J81*PV_DEMO</f>
        <v>60</v>
      </c>
    </row>
    <row r="82" ht="15.75" customHeight="1">
      <c r="A82" s="7" t="s">
        <v>243</v>
      </c>
      <c r="B82" s="7" t="s">
        <v>244</v>
      </c>
      <c r="C82" s="19">
        <v>0.0</v>
      </c>
      <c r="D82" s="19">
        <v>0.0</v>
      </c>
      <c r="E82" s="19"/>
      <c r="F82" s="19">
        <v>0.0</v>
      </c>
      <c r="G82" s="19">
        <v>0.0</v>
      </c>
      <c r="H82" s="19">
        <v>0.0</v>
      </c>
      <c r="I82" s="19">
        <v>0.0</v>
      </c>
      <c r="J82" s="19">
        <v>0.0</v>
      </c>
      <c r="K82" s="6">
        <f>C82*PV_UPDATE+D82*PV_DEPLOY+E82*PV_HELP+F82*PV_BLOG+G82*PV_PR+H82*PV_BUILDNIGHT+I82*PV_MENTOR+J82*PV_DEMO</f>
        <v>0</v>
      </c>
    </row>
    <row r="83" ht="15.75" customHeight="1">
      <c r="A83" s="7" t="s">
        <v>245</v>
      </c>
      <c r="B83" s="7" t="s">
        <v>246</v>
      </c>
      <c r="C83" s="18">
        <v>1.0</v>
      </c>
      <c r="D83" s="18">
        <v>1.0</v>
      </c>
      <c r="E83" s="18"/>
      <c r="F83" s="18">
        <v>2.0</v>
      </c>
      <c r="G83" s="19">
        <v>0.0</v>
      </c>
      <c r="H83" s="19">
        <v>0.0</v>
      </c>
      <c r="I83" s="19">
        <v>0.0</v>
      </c>
      <c r="J83" s="19">
        <v>0.0</v>
      </c>
      <c r="K83" s="6">
        <f>C83*PV_UPDATE+D83*PV_DEPLOY+E83*PV_HELP+F83*PV_BLOG+G83*PV_PR+H83*PV_BUILDNIGHT+I83*PV_MENTOR+J83*PV_DEMO</f>
        <v>65</v>
      </c>
    </row>
    <row r="84" ht="15.75" customHeight="1">
      <c r="A84" s="7" t="s">
        <v>247</v>
      </c>
      <c r="B84" s="7" t="s">
        <v>248</v>
      </c>
      <c r="C84" s="19">
        <v>0.0</v>
      </c>
      <c r="D84" s="19">
        <v>0.0</v>
      </c>
      <c r="E84" s="19"/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6">
        <f>C84*PV_UPDATE+D84*PV_DEPLOY+E84*PV_HELP+F84*PV_BLOG+G84*PV_PR+H84*PV_BUILDNIGHT+I84*PV_MENTOR+J84*PV_DEMO</f>
        <v>0</v>
      </c>
    </row>
    <row r="85" ht="15.75" customHeight="1">
      <c r="A85" s="7" t="s">
        <v>249</v>
      </c>
      <c r="B85" s="7" t="s">
        <v>250</v>
      </c>
      <c r="C85" s="18">
        <v>1.0</v>
      </c>
      <c r="D85" s="18">
        <v>1.0</v>
      </c>
      <c r="E85" s="18"/>
      <c r="F85" s="18">
        <v>1.0</v>
      </c>
      <c r="G85" s="19">
        <v>0.0</v>
      </c>
      <c r="H85" s="18">
        <v>1.0</v>
      </c>
      <c r="I85" s="19">
        <v>0.0</v>
      </c>
      <c r="J85" s="19">
        <v>0.0</v>
      </c>
      <c r="K85" s="6">
        <f>C85*PV_UPDATE+D85*PV_DEPLOY+E85*PV_HELP+F85*PV_BLOG+G85*PV_PR+H85*PV_BUILDNIGHT+I85*PV_MENTOR+J85*PV_DEMO</f>
        <v>60</v>
      </c>
    </row>
    <row r="86" ht="15.75" customHeight="1">
      <c r="A86" s="7" t="s">
        <v>251</v>
      </c>
      <c r="B86" s="7" t="s">
        <v>252</v>
      </c>
      <c r="C86" s="19">
        <v>0.0</v>
      </c>
      <c r="D86" s="19">
        <v>0.0</v>
      </c>
      <c r="E86" s="19"/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6">
        <f>C86*PV_UPDATE+D86*PV_DEPLOY+E86*PV_HELP+F86*PV_BLOG+G86*PV_PR+H86*PV_BUILDNIGHT+I86*PV_MENTOR+J86*PV_DEMO</f>
        <v>0</v>
      </c>
    </row>
    <row r="87" ht="15.75" customHeight="1">
      <c r="A87" s="7" t="s">
        <v>253</v>
      </c>
      <c r="B87" s="7" t="s">
        <v>254</v>
      </c>
      <c r="C87" s="19">
        <v>0.0</v>
      </c>
      <c r="D87" s="19">
        <v>0.0</v>
      </c>
      <c r="E87" s="19"/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6">
        <f>C87*PV_UPDATE+D87*PV_DEPLOY+E87*PV_HELP+F87*PV_BLOG+G87*PV_PR+H87*PV_BUILDNIGHT+I87*PV_MENTOR+J87*PV_DEMO</f>
        <v>0</v>
      </c>
    </row>
    <row r="88" ht="15.75" customHeight="1">
      <c r="A88" s="7" t="s">
        <v>256</v>
      </c>
      <c r="B88" s="7" t="s">
        <v>257</v>
      </c>
      <c r="C88" s="19">
        <v>0.0</v>
      </c>
      <c r="D88" s="19">
        <v>0.0</v>
      </c>
      <c r="E88" s="19"/>
      <c r="F88" s="19">
        <v>0.0</v>
      </c>
      <c r="G88" s="19">
        <v>0.0</v>
      </c>
      <c r="H88" s="18">
        <v>1.0</v>
      </c>
      <c r="I88" s="19">
        <v>0.0</v>
      </c>
      <c r="J88" s="19">
        <v>0.0</v>
      </c>
      <c r="K88" s="6">
        <f>C88*PV_UPDATE+D88*PV_DEPLOY+E88*PV_HELP+F88*PV_BLOG+G88*PV_PR+H88*PV_BUILDNIGHT+I88*PV_MENTOR+J88*PV_DEMO</f>
        <v>15</v>
      </c>
    </row>
    <row r="89" ht="15.75" customHeight="1">
      <c r="A89" s="7" t="s">
        <v>258</v>
      </c>
      <c r="B89" s="7" t="s">
        <v>259</v>
      </c>
      <c r="C89" s="19">
        <v>0.0</v>
      </c>
      <c r="D89" s="19">
        <v>0.0</v>
      </c>
      <c r="E89" s="19"/>
      <c r="F89" s="19">
        <v>0.0</v>
      </c>
      <c r="G89" s="19">
        <v>0.0</v>
      </c>
      <c r="H89" s="19">
        <v>0.0</v>
      </c>
      <c r="I89" s="19">
        <v>0.0</v>
      </c>
      <c r="J89" s="19">
        <v>0.0</v>
      </c>
      <c r="K89" s="6">
        <f>C89*PV_UPDATE+D89*PV_DEPLOY+E89*PV_HELP+F89*PV_BLOG+G89*PV_PR+H89*PV_BUILDNIGHT+I89*PV_MENTOR+J89*PV_DEMO</f>
        <v>0</v>
      </c>
    </row>
    <row r="90" ht="15.75" customHeight="1">
      <c r="A90" s="7" t="s">
        <v>260</v>
      </c>
      <c r="B90" s="7" t="s">
        <v>261</v>
      </c>
      <c r="C90" s="19">
        <v>0.0</v>
      </c>
      <c r="D90" s="19">
        <v>0.0</v>
      </c>
      <c r="E90" s="19"/>
      <c r="F90" s="19">
        <v>0.0</v>
      </c>
      <c r="G90" s="19">
        <v>0.0</v>
      </c>
      <c r="H90" s="19">
        <v>0.0</v>
      </c>
      <c r="I90" s="19">
        <v>0.0</v>
      </c>
      <c r="J90" s="19">
        <v>0.0</v>
      </c>
      <c r="K90" s="6">
        <f>C90*PV_UPDATE+D90*PV_DEPLOY+E90*PV_HELP+F90*PV_BLOG+G90*PV_PR+H90*PV_BUILDNIGHT+I90*PV_MENTOR+J90*PV_DEMO</f>
        <v>0</v>
      </c>
    </row>
    <row r="91" ht="15.75" customHeight="1">
      <c r="A91" s="7" t="s">
        <v>262</v>
      </c>
      <c r="B91" s="7" t="s">
        <v>263</v>
      </c>
      <c r="C91" s="19">
        <v>0.0</v>
      </c>
      <c r="D91" s="19">
        <v>0.0</v>
      </c>
      <c r="E91" s="19"/>
      <c r="F91" s="19">
        <v>0.0</v>
      </c>
      <c r="G91" s="19">
        <v>0.0</v>
      </c>
      <c r="H91" s="19">
        <v>0.0</v>
      </c>
      <c r="I91" s="19">
        <v>0.0</v>
      </c>
      <c r="J91" s="19">
        <v>0.0</v>
      </c>
      <c r="K91" s="6">
        <f>C91*PV_UPDATE+D91*PV_DEPLOY+E91*PV_HELP+F91*PV_BLOG+G91*PV_PR+H91*PV_BUILDNIGHT+I91*PV_MENTOR+J91*PV_DEMO</f>
        <v>0</v>
      </c>
    </row>
    <row r="92" ht="15.75" customHeight="1">
      <c r="A92" s="7" t="s">
        <v>264</v>
      </c>
      <c r="B92" s="7" t="s">
        <v>265</v>
      </c>
      <c r="C92" s="19">
        <v>0.0</v>
      </c>
      <c r="D92" s="19">
        <v>0.0</v>
      </c>
      <c r="E92" s="19"/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6">
        <f>C92*PV_UPDATE+D92*PV_DEPLOY+E92*PV_HELP+F92*PV_BLOG+G92*PV_PR+H92*PV_BUILDNIGHT+I92*PV_MENTOR+J92*PV_DEMO</f>
        <v>0</v>
      </c>
    </row>
    <row r="93" ht="15.75" customHeight="1">
      <c r="A93" s="7" t="s">
        <v>266</v>
      </c>
      <c r="B93" s="7" t="s">
        <v>267</v>
      </c>
      <c r="C93" s="18">
        <v>1.0</v>
      </c>
      <c r="D93" s="18">
        <v>1.0</v>
      </c>
      <c r="E93" s="18"/>
      <c r="F93" s="18">
        <v>1.0</v>
      </c>
      <c r="G93" s="19">
        <v>0.0</v>
      </c>
      <c r="H93" s="18">
        <v>1.0</v>
      </c>
      <c r="I93" s="19">
        <v>0.0</v>
      </c>
      <c r="J93" s="19">
        <v>0.0</v>
      </c>
      <c r="K93" s="6">
        <f>C93*PV_UPDATE+D93*PV_DEPLOY+E93*PV_HELP+F93*PV_BLOG+G93*PV_PR+H93*PV_BUILDNIGHT+I93*PV_MENTOR+J93*PV_DEMO</f>
        <v>60</v>
      </c>
    </row>
    <row r="94" ht="15.75" customHeight="1">
      <c r="A94" s="7" t="s">
        <v>268</v>
      </c>
      <c r="B94" s="7" t="s">
        <v>269</v>
      </c>
      <c r="C94" s="19">
        <v>0.0</v>
      </c>
      <c r="D94" s="19">
        <v>0.0</v>
      </c>
      <c r="E94" s="19"/>
      <c r="F94" s="19">
        <v>0.0</v>
      </c>
      <c r="G94" s="19">
        <v>0.0</v>
      </c>
      <c r="H94" s="19">
        <v>0.0</v>
      </c>
      <c r="I94" s="19">
        <v>0.0</v>
      </c>
      <c r="J94" s="19">
        <v>0.0</v>
      </c>
      <c r="K94" s="6">
        <f>C94*PV_UPDATE+D94*PV_DEPLOY+E94*PV_HELP+F94*PV_BLOG+G94*PV_PR+H94*PV_BUILDNIGHT+I94*PV_MENTOR+J94*PV_DEMO</f>
        <v>0</v>
      </c>
    </row>
    <row r="95" ht="15.75" customHeight="1">
      <c r="A95" s="7" t="s">
        <v>270</v>
      </c>
      <c r="B95" s="7" t="s">
        <v>271</v>
      </c>
      <c r="C95" s="18">
        <v>1.0</v>
      </c>
      <c r="D95" s="18">
        <v>1.0</v>
      </c>
      <c r="E95" s="18"/>
      <c r="F95" s="19">
        <v>0.0</v>
      </c>
      <c r="G95" s="19">
        <v>0.0</v>
      </c>
      <c r="H95" s="18">
        <v>1.0</v>
      </c>
      <c r="I95" s="19">
        <v>0.0</v>
      </c>
      <c r="J95" s="19">
        <v>0.0</v>
      </c>
      <c r="K95" s="6">
        <f>C95*PV_UPDATE+D95*PV_DEPLOY+E95*PV_HELP+F95*PV_BLOG+G95*PV_PR+H95*PV_BUILDNIGHT+I95*PV_MENTOR+J95*PV_DEMO</f>
        <v>40</v>
      </c>
    </row>
    <row r="96" ht="15.75" customHeight="1">
      <c r="A96" s="7" t="s">
        <v>272</v>
      </c>
      <c r="B96" s="7" t="s">
        <v>273</v>
      </c>
      <c r="C96" s="19">
        <v>0.0</v>
      </c>
      <c r="D96" s="19">
        <v>0.0</v>
      </c>
      <c r="E96" s="19"/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6">
        <f>C96*PV_UPDATE+D96*PV_DEPLOY+E96*PV_HELP+F96*PV_BLOG+G96*PV_PR+H96*PV_BUILDNIGHT+I96*PV_MENTOR+J96*PV_DEMO</f>
        <v>0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16.0"/>
    <col customWidth="1" min="4" max="4" width="10.0"/>
    <col customWidth="1" min="5" max="5" width="16.0"/>
    <col customWidth="1" min="6" max="7" width="11.0"/>
    <col customWidth="1" min="8" max="8" width="16.0"/>
    <col customWidth="1" min="9" max="9" width="18.0"/>
    <col customWidth="1" min="10" max="11" width="13.0"/>
    <col customWidth="1" min="12" max="26" width="8.71"/>
  </cols>
  <sheetData>
    <row r="1">
      <c r="A1" s="3" t="s">
        <v>69</v>
      </c>
      <c r="B1" s="3" t="s">
        <v>70</v>
      </c>
      <c r="C1" s="3" t="s">
        <v>495</v>
      </c>
      <c r="D1" s="3" t="s">
        <v>496</v>
      </c>
      <c r="E1" s="3"/>
      <c r="F1" s="3" t="s">
        <v>497</v>
      </c>
      <c r="G1" s="3" t="s">
        <v>498</v>
      </c>
      <c r="H1" s="3" t="s">
        <v>499</v>
      </c>
      <c r="I1" s="3" t="s">
        <v>500</v>
      </c>
      <c r="J1" s="3" t="s">
        <v>501</v>
      </c>
      <c r="K1" s="3" t="s">
        <v>502</v>
      </c>
    </row>
    <row r="2">
      <c r="A2" s="7" t="s">
        <v>79</v>
      </c>
      <c r="B2" s="7" t="s">
        <v>80</v>
      </c>
      <c r="C2" s="18">
        <v>1.0</v>
      </c>
      <c r="D2" s="18">
        <v>1.0</v>
      </c>
      <c r="E2" s="19"/>
      <c r="F2" s="18">
        <v>1.0</v>
      </c>
      <c r="G2" s="19">
        <v>0.0</v>
      </c>
      <c r="H2" s="18">
        <v>1.0</v>
      </c>
      <c r="I2" s="19">
        <v>0.0</v>
      </c>
      <c r="J2" s="19">
        <v>0.0</v>
      </c>
      <c r="K2" s="6">
        <f>C2*PV_UPDATE+D2*PV_DEPLOY+E2*PV_HELP+F2*PV_BLOG+G2*PV_PR+H2*PV_BUILDNIGHT+I2*PV_MENTOR+J2*PV_DEMO</f>
        <v>60</v>
      </c>
    </row>
    <row r="3">
      <c r="A3" s="7" t="s">
        <v>82</v>
      </c>
      <c r="B3" s="7" t="s">
        <v>83</v>
      </c>
      <c r="C3" s="18">
        <v>1.0</v>
      </c>
      <c r="D3" s="18">
        <v>1.0</v>
      </c>
      <c r="E3" s="19"/>
      <c r="F3" s="18">
        <v>2.0</v>
      </c>
      <c r="G3" s="18">
        <v>1.0</v>
      </c>
      <c r="H3" s="18">
        <v>1.0</v>
      </c>
      <c r="I3" s="19">
        <v>0.0</v>
      </c>
      <c r="J3" s="19">
        <v>0.0</v>
      </c>
      <c r="K3" s="6">
        <f>C3*PV_UPDATE+D3*PV_DEPLOY+E3*PV_HELP+F3*PV_BLOG+G3*PV_PR+H3*PV_BUILDNIGHT+I3*PV_MENTOR+J3*PV_DEMO</f>
        <v>105</v>
      </c>
    </row>
    <row r="4">
      <c r="A4" s="7" t="s">
        <v>84</v>
      </c>
      <c r="B4" s="7" t="s">
        <v>85</v>
      </c>
      <c r="C4" s="19">
        <v>0.0</v>
      </c>
      <c r="D4" s="19">
        <v>0.0</v>
      </c>
      <c r="E4" s="19"/>
      <c r="F4" s="19">
        <v>0.0</v>
      </c>
      <c r="G4" s="19">
        <v>0.0</v>
      </c>
      <c r="H4" s="19">
        <v>0.0</v>
      </c>
      <c r="I4" s="19">
        <v>0.0</v>
      </c>
      <c r="J4" s="19">
        <v>0.0</v>
      </c>
      <c r="K4" s="6">
        <f>C4*PV_UPDATE+D4*PV_DEPLOY+E4*PV_HELP+F4*PV_BLOG+G4*PV_PR+H4*PV_BUILDNIGHT+I4*PV_MENTOR+J4*PV_DEMO</f>
        <v>0</v>
      </c>
    </row>
    <row r="5">
      <c r="A5" s="7" t="s">
        <v>87</v>
      </c>
      <c r="B5" s="7" t="s">
        <v>88</v>
      </c>
      <c r="C5" s="19">
        <v>0.0</v>
      </c>
      <c r="D5" s="19">
        <v>0.0</v>
      </c>
      <c r="E5" s="19"/>
      <c r="F5" s="19">
        <v>0.0</v>
      </c>
      <c r="G5" s="19">
        <v>0.0</v>
      </c>
      <c r="H5" s="19">
        <v>0.0</v>
      </c>
      <c r="I5" s="19">
        <v>0.0</v>
      </c>
      <c r="J5" s="19">
        <v>0.0</v>
      </c>
      <c r="K5" s="6">
        <f>C5*PV_UPDATE+D5*PV_DEPLOY+E5*PV_HELP+F5*PV_BLOG+G5*PV_PR+H5*PV_BUILDNIGHT+I5*PV_MENTOR+J5*PV_DEMO</f>
        <v>0</v>
      </c>
    </row>
    <row r="6">
      <c r="A6" s="7" t="s">
        <v>89</v>
      </c>
      <c r="B6" s="7" t="s">
        <v>90</v>
      </c>
      <c r="C6" s="19">
        <v>0.0</v>
      </c>
      <c r="D6" s="19">
        <v>0.0</v>
      </c>
      <c r="E6" s="19"/>
      <c r="F6" s="19">
        <v>0.0</v>
      </c>
      <c r="G6" s="19">
        <v>0.0</v>
      </c>
      <c r="H6" s="19">
        <v>0.0</v>
      </c>
      <c r="I6" s="19">
        <v>0.0</v>
      </c>
      <c r="J6" s="19">
        <v>0.0</v>
      </c>
      <c r="K6" s="6">
        <f>C6*PV_UPDATE+D6*PV_DEPLOY+E6*PV_HELP+F6*PV_BLOG+G6*PV_PR+H6*PV_BUILDNIGHT+I6*PV_MENTOR+J6*PV_DEMO</f>
        <v>0</v>
      </c>
    </row>
    <row r="7">
      <c r="A7" s="7" t="s">
        <v>91</v>
      </c>
      <c r="B7" s="7" t="s">
        <v>92</v>
      </c>
      <c r="C7" s="19">
        <v>0.0</v>
      </c>
      <c r="D7" s="19">
        <v>0.0</v>
      </c>
      <c r="E7" s="19"/>
      <c r="F7" s="19">
        <v>0.0</v>
      </c>
      <c r="G7" s="19">
        <v>0.0</v>
      </c>
      <c r="H7" s="19">
        <v>0.0</v>
      </c>
      <c r="I7" s="19">
        <v>0.0</v>
      </c>
      <c r="J7" s="19">
        <v>0.0</v>
      </c>
      <c r="K7" s="6">
        <f>C7*PV_UPDATE+D7*PV_DEPLOY+E7*PV_HELP+F7*PV_BLOG+G7*PV_PR+H7*PV_BUILDNIGHT+I7*PV_MENTOR+J7*PV_DEMO</f>
        <v>0</v>
      </c>
    </row>
    <row r="8">
      <c r="A8" s="7" t="s">
        <v>93</v>
      </c>
      <c r="B8" s="7" t="s">
        <v>94</v>
      </c>
      <c r="C8" s="18">
        <v>1.0</v>
      </c>
      <c r="D8" s="18">
        <v>1.0</v>
      </c>
      <c r="E8" s="19"/>
      <c r="F8" s="18">
        <v>2.0</v>
      </c>
      <c r="G8" s="18">
        <v>2.0</v>
      </c>
      <c r="H8" s="18">
        <v>1.0</v>
      </c>
      <c r="I8" s="19">
        <v>0.0</v>
      </c>
      <c r="J8" s="19">
        <v>0.0</v>
      </c>
      <c r="K8" s="6">
        <f>C8*PV_UPDATE+D8*PV_DEPLOY+E8*PV_HELP+F8*PV_BLOG+G8*PV_PR+H8*PV_BUILDNIGHT+I8*PV_MENTOR+J8*PV_DEMO</f>
        <v>130</v>
      </c>
    </row>
    <row r="9">
      <c r="A9" s="7" t="s">
        <v>96</v>
      </c>
      <c r="B9" s="7" t="s">
        <v>97</v>
      </c>
      <c r="C9" s="19">
        <v>0.0</v>
      </c>
      <c r="D9" s="19">
        <v>0.0</v>
      </c>
      <c r="E9" s="19"/>
      <c r="F9" s="19">
        <v>0.0</v>
      </c>
      <c r="G9" s="18">
        <v>1.0</v>
      </c>
      <c r="H9" s="19">
        <v>0.0</v>
      </c>
      <c r="I9" s="19">
        <v>0.0</v>
      </c>
      <c r="J9" s="19">
        <v>0.0</v>
      </c>
      <c r="K9" s="6">
        <f>C9*PV_UPDATE+D9*PV_DEPLOY+E9*PV_HELP+F9*PV_BLOG+G9*PV_PR+H9*PV_BUILDNIGHT+I9*PV_MENTOR+J9*PV_DEMO</f>
        <v>25</v>
      </c>
    </row>
    <row r="10">
      <c r="A10" s="7" t="s">
        <v>98</v>
      </c>
      <c r="B10" s="7" t="s">
        <v>99</v>
      </c>
      <c r="C10" s="19">
        <v>0.0</v>
      </c>
      <c r="D10" s="19">
        <v>0.0</v>
      </c>
      <c r="E10" s="19"/>
      <c r="F10" s="19">
        <v>0.0</v>
      </c>
      <c r="G10" s="19">
        <v>0.0</v>
      </c>
      <c r="H10" s="19">
        <v>0.0</v>
      </c>
      <c r="I10" s="19">
        <v>0.0</v>
      </c>
      <c r="J10" s="19">
        <v>0.0</v>
      </c>
      <c r="K10" s="6">
        <f>C10*PV_UPDATE+D10*PV_DEPLOY+E10*PV_HELP+F10*PV_BLOG+G10*PV_PR+H10*PV_BUILDNIGHT+I10*PV_MENTOR+J10*PV_DEMO</f>
        <v>0</v>
      </c>
    </row>
    <row r="11">
      <c r="A11" s="7" t="s">
        <v>100</v>
      </c>
      <c r="B11" s="7" t="s">
        <v>101</v>
      </c>
      <c r="C11" s="19">
        <v>0.0</v>
      </c>
      <c r="D11" s="19">
        <v>0.0</v>
      </c>
      <c r="E11" s="19"/>
      <c r="F11" s="19">
        <v>0.0</v>
      </c>
      <c r="G11" s="19">
        <v>0.0</v>
      </c>
      <c r="H11" s="19">
        <v>0.0</v>
      </c>
      <c r="I11" s="19">
        <v>0.0</v>
      </c>
      <c r="J11" s="19">
        <v>0.0</v>
      </c>
      <c r="K11" s="6">
        <f>C11*PV_UPDATE+D11*PV_DEPLOY+E11*PV_HELP+F11*PV_BLOG+G11*PV_PR+H11*PV_BUILDNIGHT+I11*PV_MENTOR+J11*PV_DEMO</f>
        <v>0</v>
      </c>
    </row>
    <row r="12">
      <c r="A12" s="7" t="s">
        <v>102</v>
      </c>
      <c r="B12" s="7" t="s">
        <v>103</v>
      </c>
      <c r="C12" s="18">
        <v>1.0</v>
      </c>
      <c r="D12" s="18">
        <v>1.0</v>
      </c>
      <c r="E12" s="19"/>
      <c r="F12" s="18">
        <v>2.0</v>
      </c>
      <c r="G12" s="18">
        <v>6.0</v>
      </c>
      <c r="H12" s="18">
        <v>1.0</v>
      </c>
      <c r="I12" s="19">
        <v>0.0</v>
      </c>
      <c r="J12" s="19">
        <v>0.0</v>
      </c>
      <c r="K12" s="6">
        <f>C12*PV_UPDATE+D12*PV_DEPLOY+E12*PV_HELP+F12*PV_BLOG+G12*PV_PR+H12*PV_BUILDNIGHT+I12*PV_MENTOR+J12*PV_DEMO</f>
        <v>230</v>
      </c>
    </row>
    <row r="13">
      <c r="A13" s="7" t="s">
        <v>104</v>
      </c>
      <c r="B13" s="7" t="s">
        <v>105</v>
      </c>
      <c r="C13" s="19">
        <v>0.0</v>
      </c>
      <c r="D13" s="19">
        <v>0.0</v>
      </c>
      <c r="E13" s="19"/>
      <c r="F13" s="19">
        <v>0.0</v>
      </c>
      <c r="G13" s="18">
        <v>6.0</v>
      </c>
      <c r="H13" s="19">
        <v>0.0</v>
      </c>
      <c r="I13" s="19">
        <v>0.0</v>
      </c>
      <c r="J13" s="19">
        <v>0.0</v>
      </c>
      <c r="K13" s="6">
        <f>C13*PV_UPDATE+D13*PV_DEPLOY+E13*PV_HELP+F13*PV_BLOG+G13*PV_PR+H13*PV_BUILDNIGHT+I13*PV_MENTOR+J13*PV_DEMO</f>
        <v>150</v>
      </c>
    </row>
    <row r="14">
      <c r="A14" s="7" t="s">
        <v>106</v>
      </c>
      <c r="B14" s="7" t="s">
        <v>107</v>
      </c>
      <c r="C14" s="19">
        <v>0.0</v>
      </c>
      <c r="D14" s="19">
        <v>0.0</v>
      </c>
      <c r="E14" s="19"/>
      <c r="F14" s="19">
        <v>0.0</v>
      </c>
      <c r="G14" s="19">
        <v>0.0</v>
      </c>
      <c r="H14" s="19">
        <v>0.0</v>
      </c>
      <c r="I14" s="19">
        <v>0.0</v>
      </c>
      <c r="J14" s="19">
        <v>0.0</v>
      </c>
      <c r="K14" s="6">
        <f>C14*PV_UPDATE+D14*PV_DEPLOY+E14*PV_HELP+F14*PV_BLOG+G14*PV_PR+H14*PV_BUILDNIGHT+I14*PV_MENTOR+J14*PV_DEMO</f>
        <v>0</v>
      </c>
    </row>
    <row r="15">
      <c r="A15" s="7" t="s">
        <v>108</v>
      </c>
      <c r="B15" s="7" t="s">
        <v>109</v>
      </c>
      <c r="C15" s="19">
        <v>0.0</v>
      </c>
      <c r="D15" s="19">
        <v>0.0</v>
      </c>
      <c r="E15" s="19"/>
      <c r="F15" s="19">
        <v>0.0</v>
      </c>
      <c r="G15" s="19">
        <v>0.0</v>
      </c>
      <c r="H15" s="19">
        <v>0.0</v>
      </c>
      <c r="I15" s="19">
        <v>0.0</v>
      </c>
      <c r="J15" s="19">
        <v>0.0</v>
      </c>
      <c r="K15" s="6">
        <f>C15*PV_UPDATE+D15*PV_DEPLOY+E15*PV_HELP+F15*PV_BLOG+G15*PV_PR+H15*PV_BUILDNIGHT+I15*PV_MENTOR+J15*PV_DEMO</f>
        <v>0</v>
      </c>
    </row>
    <row r="16">
      <c r="A16" s="7" t="s">
        <v>110</v>
      </c>
      <c r="B16" s="7" t="s">
        <v>111</v>
      </c>
      <c r="C16" s="18">
        <v>1.0</v>
      </c>
      <c r="D16" s="18">
        <v>1.0</v>
      </c>
      <c r="E16" s="19"/>
      <c r="F16" s="18">
        <v>2.0</v>
      </c>
      <c r="G16" s="19">
        <v>0.0</v>
      </c>
      <c r="H16" s="18">
        <v>1.0</v>
      </c>
      <c r="I16" s="19">
        <v>0.0</v>
      </c>
      <c r="J16" s="19">
        <v>0.0</v>
      </c>
      <c r="K16" s="6">
        <f>C16*PV_UPDATE+D16*PV_DEPLOY+E16*PV_HELP+F16*PV_BLOG+G16*PV_PR+H16*PV_BUILDNIGHT+I16*PV_MENTOR+J16*PV_DEMO</f>
        <v>80</v>
      </c>
    </row>
    <row r="17">
      <c r="A17" s="7" t="s">
        <v>112</v>
      </c>
      <c r="B17" s="7" t="s">
        <v>113</v>
      </c>
      <c r="C17" s="19">
        <v>0.0</v>
      </c>
      <c r="D17" s="19">
        <v>0.0</v>
      </c>
      <c r="E17" s="19"/>
      <c r="F17" s="19">
        <v>0.0</v>
      </c>
      <c r="G17" s="19">
        <v>0.0</v>
      </c>
      <c r="H17" s="19">
        <v>0.0</v>
      </c>
      <c r="I17" s="19">
        <v>0.0</v>
      </c>
      <c r="J17" s="19">
        <v>0.0</v>
      </c>
      <c r="K17" s="6">
        <f>C17*PV_UPDATE+D17*PV_DEPLOY+E17*PV_HELP+F17*PV_BLOG+G17*PV_PR+H17*PV_BUILDNIGHT+I17*PV_MENTOR+J17*PV_DEMO</f>
        <v>0</v>
      </c>
    </row>
    <row r="18">
      <c r="A18" s="7" t="s">
        <v>114</v>
      </c>
      <c r="B18" s="7" t="s">
        <v>115</v>
      </c>
      <c r="C18" s="19">
        <v>0.0</v>
      </c>
      <c r="D18" s="19">
        <v>0.0</v>
      </c>
      <c r="E18" s="19"/>
      <c r="F18" s="19">
        <v>0.0</v>
      </c>
      <c r="G18" s="19">
        <v>0.0</v>
      </c>
      <c r="H18" s="19">
        <v>0.0</v>
      </c>
      <c r="I18" s="19">
        <v>0.0</v>
      </c>
      <c r="J18" s="19">
        <v>0.0</v>
      </c>
      <c r="K18" s="6">
        <f>C18*PV_UPDATE+D18*PV_DEPLOY+E18*PV_HELP+F18*PV_BLOG+G18*PV_PR+H18*PV_BUILDNIGHT+I18*PV_MENTOR+J18*PV_DEMO</f>
        <v>0</v>
      </c>
    </row>
    <row r="19">
      <c r="A19" s="7" t="s">
        <v>116</v>
      </c>
      <c r="B19" s="7" t="s">
        <v>117</v>
      </c>
      <c r="C19" s="19">
        <v>0.0</v>
      </c>
      <c r="D19" s="19">
        <v>0.0</v>
      </c>
      <c r="E19" s="19"/>
      <c r="F19" s="19">
        <v>0.0</v>
      </c>
      <c r="G19" s="19">
        <v>0.0</v>
      </c>
      <c r="H19" s="19">
        <v>0.0</v>
      </c>
      <c r="I19" s="19">
        <v>0.0</v>
      </c>
      <c r="J19" s="19">
        <v>0.0</v>
      </c>
      <c r="K19" s="6">
        <f>C19*PV_UPDATE+D19*PV_DEPLOY+E19*PV_HELP+F19*PV_BLOG+G19*PV_PR+H19*PV_BUILDNIGHT+I19*PV_MENTOR+J19*PV_DEMO</f>
        <v>0</v>
      </c>
    </row>
    <row r="20">
      <c r="A20" s="7" t="s">
        <v>118</v>
      </c>
      <c r="B20" s="7" t="s">
        <v>119</v>
      </c>
      <c r="C20" s="18">
        <v>1.0</v>
      </c>
      <c r="D20" s="18">
        <v>1.0</v>
      </c>
      <c r="E20" s="19"/>
      <c r="F20" s="18">
        <v>2.0</v>
      </c>
      <c r="G20" s="18">
        <v>2.0</v>
      </c>
      <c r="H20" s="19">
        <v>0.0</v>
      </c>
      <c r="I20" s="19">
        <v>0.0</v>
      </c>
      <c r="J20" s="19">
        <v>0.0</v>
      </c>
      <c r="K20" s="6">
        <f>C20*PV_UPDATE+D20*PV_DEPLOY+E20*PV_HELP+F20*PV_BLOG+G20*PV_PR+H20*PV_BUILDNIGHT+I20*PV_MENTOR+J20*PV_DEMO</f>
        <v>115</v>
      </c>
    </row>
    <row r="21" ht="15.75" customHeight="1">
      <c r="A21" s="7" t="s">
        <v>120</v>
      </c>
      <c r="B21" s="7" t="s">
        <v>121</v>
      </c>
      <c r="C21" s="19">
        <v>0.0</v>
      </c>
      <c r="D21" s="19">
        <v>0.0</v>
      </c>
      <c r="E21" s="19"/>
      <c r="F21" s="18">
        <v>0.0</v>
      </c>
      <c r="G21" s="19">
        <v>0.0</v>
      </c>
      <c r="H21" s="19">
        <v>0.0</v>
      </c>
      <c r="I21" s="19">
        <v>0.0</v>
      </c>
      <c r="J21" s="19">
        <v>0.0</v>
      </c>
      <c r="K21" s="6">
        <f>C21*PV_UPDATE+D21*PV_DEPLOY+E21*PV_HELP+F21*PV_BLOG+G21*PV_PR+H21*PV_BUILDNIGHT+I21*PV_MENTOR+J21*PV_DEMO</f>
        <v>0</v>
      </c>
    </row>
    <row r="22" ht="15.75" customHeight="1">
      <c r="A22" s="7" t="s">
        <v>122</v>
      </c>
      <c r="B22" s="7" t="s">
        <v>123</v>
      </c>
      <c r="C22" s="19">
        <v>0.0</v>
      </c>
      <c r="D22" s="19">
        <v>0.0</v>
      </c>
      <c r="E22" s="19"/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6">
        <f>C22*PV_UPDATE+D22*PV_DEPLOY+E22*PV_HELP+F22*PV_BLOG+G22*PV_PR+H22*PV_BUILDNIGHT+I22*PV_MENTOR+J22*PV_DEMO</f>
        <v>0</v>
      </c>
    </row>
    <row r="23" ht="15.75" customHeight="1">
      <c r="A23" s="7" t="s">
        <v>124</v>
      </c>
      <c r="B23" s="7" t="s">
        <v>125</v>
      </c>
      <c r="C23" s="19">
        <v>0.0</v>
      </c>
      <c r="D23" s="19">
        <v>0.0</v>
      </c>
      <c r="E23" s="19"/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6">
        <f>C23*PV_UPDATE+D23*PV_DEPLOY+E23*PV_HELP+F23*PV_BLOG+G23*PV_PR+H23*PV_BUILDNIGHT+I23*PV_MENTOR+J23*PV_DEMO</f>
        <v>0</v>
      </c>
    </row>
    <row r="24" ht="15.75" customHeight="1">
      <c r="A24" s="7" t="s">
        <v>126</v>
      </c>
      <c r="B24" s="7" t="s">
        <v>127</v>
      </c>
      <c r="C24" s="19">
        <v>0.0</v>
      </c>
      <c r="D24" s="19">
        <v>0.0</v>
      </c>
      <c r="E24" s="19"/>
      <c r="F24" s="19">
        <v>0.0</v>
      </c>
      <c r="G24" s="19">
        <v>0.0</v>
      </c>
      <c r="H24" s="19">
        <v>0.0</v>
      </c>
      <c r="I24" s="19">
        <v>0.0</v>
      </c>
      <c r="J24" s="19">
        <v>0.0</v>
      </c>
      <c r="K24" s="6">
        <f>C24*PV_UPDATE+D24*PV_DEPLOY+E24*PV_HELP+F24*PV_BLOG+G24*PV_PR+H24*PV_BUILDNIGHT+I24*PV_MENTOR+J24*PV_DEMO</f>
        <v>0</v>
      </c>
    </row>
    <row r="25" ht="15.75" customHeight="1">
      <c r="A25" s="7" t="s">
        <v>128</v>
      </c>
      <c r="B25" s="7" t="s">
        <v>129</v>
      </c>
      <c r="C25" s="19">
        <v>0.0</v>
      </c>
      <c r="D25" s="19">
        <v>0.0</v>
      </c>
      <c r="E25" s="19"/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6">
        <f>C25*PV_UPDATE+D25*PV_DEPLOY+E25*PV_HELP+F25*PV_BLOG+G25*PV_PR+H25*PV_BUILDNIGHT+I25*PV_MENTOR+J25*PV_DEMO</f>
        <v>0</v>
      </c>
    </row>
    <row r="26" ht="15.75" customHeight="1">
      <c r="A26" s="7" t="s">
        <v>130</v>
      </c>
      <c r="B26" s="7" t="s">
        <v>131</v>
      </c>
      <c r="C26" s="19">
        <v>0.0</v>
      </c>
      <c r="D26" s="19">
        <v>0.0</v>
      </c>
      <c r="E26" s="19"/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6">
        <f>C26*PV_UPDATE+D26*PV_DEPLOY+E26*PV_HELP+F26*PV_BLOG+G26*PV_PR+H26*PV_BUILDNIGHT+I26*PV_MENTOR+J26*PV_DEMO</f>
        <v>0</v>
      </c>
    </row>
    <row r="27" ht="15.75" customHeight="1">
      <c r="A27" s="7" t="s">
        <v>132</v>
      </c>
      <c r="B27" s="7" t="s">
        <v>133</v>
      </c>
      <c r="C27" s="19">
        <v>0.0</v>
      </c>
      <c r="D27" s="19">
        <v>0.0</v>
      </c>
      <c r="E27" s="19"/>
      <c r="F27" s="19">
        <v>0.0</v>
      </c>
      <c r="G27" s="19">
        <v>0.0</v>
      </c>
      <c r="H27" s="19">
        <v>0.0</v>
      </c>
      <c r="I27" s="19">
        <v>0.0</v>
      </c>
      <c r="J27" s="19">
        <v>0.0</v>
      </c>
      <c r="K27" s="6">
        <f>C27*PV_UPDATE+D27*PV_DEPLOY+E27*PV_HELP+F27*PV_BLOG+G27*PV_PR+H27*PV_BUILDNIGHT+I27*PV_MENTOR+J27*PV_DEMO</f>
        <v>0</v>
      </c>
    </row>
    <row r="28" ht="15.75" customHeight="1">
      <c r="A28" s="7" t="s">
        <v>134</v>
      </c>
      <c r="B28" s="7" t="s">
        <v>135</v>
      </c>
      <c r="C28" s="19">
        <v>0.0</v>
      </c>
      <c r="D28" s="19">
        <v>0.0</v>
      </c>
      <c r="E28" s="19"/>
      <c r="F28" s="19">
        <v>0.0</v>
      </c>
      <c r="G28" s="19">
        <v>0.0</v>
      </c>
      <c r="H28" s="19">
        <v>0.0</v>
      </c>
      <c r="I28" s="19">
        <v>0.0</v>
      </c>
      <c r="J28" s="19">
        <v>0.0</v>
      </c>
      <c r="K28" s="6">
        <f>C28*PV_UPDATE+D28*PV_DEPLOY+E28*PV_HELP+F28*PV_BLOG+G28*PV_PR+H28*PV_BUILDNIGHT+I28*PV_MENTOR+J28*PV_DEMO</f>
        <v>0</v>
      </c>
    </row>
    <row r="29" ht="15.75" customHeight="1">
      <c r="A29" s="7" t="s">
        <v>136</v>
      </c>
      <c r="B29" s="7" t="s">
        <v>137</v>
      </c>
      <c r="C29" s="19">
        <v>0.0</v>
      </c>
      <c r="D29" s="19">
        <v>0.0</v>
      </c>
      <c r="E29" s="19"/>
      <c r="F29" s="19">
        <v>0.0</v>
      </c>
      <c r="G29" s="19">
        <v>0.0</v>
      </c>
      <c r="H29" s="19">
        <v>0.0</v>
      </c>
      <c r="I29" s="19">
        <v>0.0</v>
      </c>
      <c r="J29" s="19">
        <v>0.0</v>
      </c>
      <c r="K29" s="6">
        <f>C29*PV_UPDATE+D29*PV_DEPLOY+E29*PV_HELP+F29*PV_BLOG+G29*PV_PR+H29*PV_BUILDNIGHT+I29*PV_MENTOR+J29*PV_DEMO</f>
        <v>0</v>
      </c>
    </row>
    <row r="30" ht="15.75" customHeight="1">
      <c r="A30" s="7" t="s">
        <v>138</v>
      </c>
      <c r="B30" s="7" t="s">
        <v>139</v>
      </c>
      <c r="C30" s="18">
        <v>1.0</v>
      </c>
      <c r="D30" s="19">
        <v>0.0</v>
      </c>
      <c r="E30" s="19"/>
      <c r="F30" s="18">
        <v>1.0</v>
      </c>
      <c r="G30" s="18">
        <v>5.0</v>
      </c>
      <c r="H30" s="18">
        <v>1.0</v>
      </c>
      <c r="I30" s="19">
        <v>0.0</v>
      </c>
      <c r="J30" s="19">
        <v>0.0</v>
      </c>
      <c r="K30" s="6">
        <f>C30*PV_UPDATE+D30*PV_DEPLOY+E30*PV_HELP+F30*PV_BLOG+G30*PV_PR+H30*PV_BUILDNIGHT+I30*PV_MENTOR+J30*PV_DEMO</f>
        <v>170</v>
      </c>
    </row>
    <row r="31" ht="15.75" customHeight="1">
      <c r="A31" s="7" t="s">
        <v>140</v>
      </c>
      <c r="B31" s="7" t="s">
        <v>141</v>
      </c>
      <c r="C31" s="19">
        <v>0.0</v>
      </c>
      <c r="D31" s="19">
        <v>0.0</v>
      </c>
      <c r="E31" s="19"/>
      <c r="F31" s="19">
        <v>0.0</v>
      </c>
      <c r="G31" s="19">
        <v>0.0</v>
      </c>
      <c r="H31" s="19">
        <v>0.0</v>
      </c>
      <c r="I31" s="19">
        <v>0.0</v>
      </c>
      <c r="J31" s="19">
        <v>0.0</v>
      </c>
      <c r="K31" s="6">
        <f>C31*PV_UPDATE+D31*PV_DEPLOY+E31*PV_HELP+F31*PV_BLOG+G31*PV_PR+H31*PV_BUILDNIGHT+I31*PV_MENTOR+J31*PV_DEMO</f>
        <v>0</v>
      </c>
    </row>
    <row r="32" ht="15.75" customHeight="1">
      <c r="A32" s="7" t="s">
        <v>142</v>
      </c>
      <c r="B32" s="7" t="s">
        <v>143</v>
      </c>
      <c r="C32" s="19">
        <v>0.0</v>
      </c>
      <c r="D32" s="19">
        <v>0.0</v>
      </c>
      <c r="E32" s="19"/>
      <c r="F32" s="19">
        <v>0.0</v>
      </c>
      <c r="G32" s="19">
        <v>0.0</v>
      </c>
      <c r="H32" s="19">
        <v>0.0</v>
      </c>
      <c r="I32" s="19">
        <v>0.0</v>
      </c>
      <c r="J32" s="19">
        <v>0.0</v>
      </c>
      <c r="K32" s="6">
        <f>C32*PV_UPDATE+D32*PV_DEPLOY+E32*PV_HELP+F32*PV_BLOG+G32*PV_PR+H32*PV_BUILDNIGHT+I32*PV_MENTOR+J32*PV_DEMO</f>
        <v>0</v>
      </c>
    </row>
    <row r="33" ht="15.75" customHeight="1">
      <c r="A33" s="7" t="s">
        <v>144</v>
      </c>
      <c r="B33" s="7" t="s">
        <v>145</v>
      </c>
      <c r="C33" s="19">
        <v>0.0</v>
      </c>
      <c r="D33" s="19">
        <v>0.0</v>
      </c>
      <c r="E33" s="19"/>
      <c r="F33" s="19">
        <v>0.0</v>
      </c>
      <c r="G33" s="19">
        <v>0.0</v>
      </c>
      <c r="H33" s="19">
        <v>0.0</v>
      </c>
      <c r="I33" s="19">
        <v>0.0</v>
      </c>
      <c r="J33" s="19">
        <v>0.0</v>
      </c>
      <c r="K33" s="6">
        <f>C33*PV_UPDATE+D33*PV_DEPLOY+E33*PV_HELP+F33*PV_BLOG+G33*PV_PR+H33*PV_BUILDNIGHT+I33*PV_MENTOR+J33*PV_DEMO</f>
        <v>0</v>
      </c>
    </row>
    <row r="34" ht="15.75" customHeight="1">
      <c r="A34" s="7" t="s">
        <v>146</v>
      </c>
      <c r="B34" s="7" t="s">
        <v>147</v>
      </c>
      <c r="C34" s="19">
        <v>0.0</v>
      </c>
      <c r="D34" s="19">
        <v>0.0</v>
      </c>
      <c r="E34" s="19"/>
      <c r="F34" s="19">
        <v>0.0</v>
      </c>
      <c r="G34" s="19">
        <v>0.0</v>
      </c>
      <c r="H34" s="19">
        <v>0.0</v>
      </c>
      <c r="I34" s="19">
        <v>0.0</v>
      </c>
      <c r="J34" s="19">
        <v>0.0</v>
      </c>
      <c r="K34" s="6">
        <f>C34*PV_UPDATE+D34*PV_DEPLOY+E34*PV_HELP+F34*PV_BLOG+G34*PV_PR+H34*PV_BUILDNIGHT+I34*PV_MENTOR+J34*PV_DEMO</f>
        <v>0</v>
      </c>
    </row>
    <row r="35" ht="15.75" customHeight="1">
      <c r="A35" s="7" t="s">
        <v>148</v>
      </c>
      <c r="B35" s="7" t="s">
        <v>149</v>
      </c>
      <c r="C35" s="19">
        <v>0.0</v>
      </c>
      <c r="D35" s="19">
        <v>0.0</v>
      </c>
      <c r="E35" s="19"/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6">
        <f>C35*PV_UPDATE+D35*PV_DEPLOY+E35*PV_HELP+F35*PV_BLOG+G35*PV_PR+H35*PV_BUILDNIGHT+I35*PV_MENTOR+J35*PV_DEMO</f>
        <v>0</v>
      </c>
    </row>
    <row r="36" ht="15.75" customHeight="1">
      <c r="A36" s="7" t="s">
        <v>150</v>
      </c>
      <c r="B36" s="7" t="s">
        <v>151</v>
      </c>
      <c r="C36" s="19">
        <v>0.0</v>
      </c>
      <c r="D36" s="19">
        <v>0.0</v>
      </c>
      <c r="E36" s="19"/>
      <c r="F36" s="19">
        <v>0.0</v>
      </c>
      <c r="G36" s="19">
        <v>0.0</v>
      </c>
      <c r="H36" s="19">
        <v>0.0</v>
      </c>
      <c r="I36" s="19">
        <v>0.0</v>
      </c>
      <c r="J36" s="19">
        <v>0.0</v>
      </c>
      <c r="K36" s="6">
        <f>C36*PV_UPDATE+D36*PV_DEPLOY+E36*PV_HELP+F36*PV_BLOG+G36*PV_PR+H36*PV_BUILDNIGHT+I36*PV_MENTOR+J36*PV_DEMO</f>
        <v>0</v>
      </c>
    </row>
    <row r="37" ht="15.75" customHeight="1">
      <c r="A37" s="7" t="s">
        <v>152</v>
      </c>
      <c r="B37" s="7" t="s">
        <v>153</v>
      </c>
      <c r="C37" s="19">
        <v>0.0</v>
      </c>
      <c r="D37" s="19">
        <v>0.0</v>
      </c>
      <c r="E37" s="19"/>
      <c r="F37" s="19">
        <v>0.0</v>
      </c>
      <c r="G37" s="19">
        <v>0.0</v>
      </c>
      <c r="H37" s="19">
        <v>0.0</v>
      </c>
      <c r="I37" s="19">
        <v>0.0</v>
      </c>
      <c r="J37" s="19">
        <v>0.0</v>
      </c>
      <c r="K37" s="6">
        <f>C37*PV_UPDATE+D37*PV_DEPLOY+E37*PV_HELP+F37*PV_BLOG+G37*PV_PR+H37*PV_BUILDNIGHT+I37*PV_MENTOR+J37*PV_DEMO</f>
        <v>0</v>
      </c>
    </row>
    <row r="38" ht="15.75" customHeight="1">
      <c r="A38" s="7" t="s">
        <v>154</v>
      </c>
      <c r="B38" s="7" t="s">
        <v>155</v>
      </c>
      <c r="C38" s="19">
        <v>0.0</v>
      </c>
      <c r="D38" s="19">
        <v>0.0</v>
      </c>
      <c r="E38" s="19"/>
      <c r="F38" s="19">
        <v>0.0</v>
      </c>
      <c r="G38" s="19">
        <v>0.0</v>
      </c>
      <c r="H38" s="19">
        <v>0.0</v>
      </c>
      <c r="I38" s="19">
        <v>0.0</v>
      </c>
      <c r="J38" s="19">
        <v>0.0</v>
      </c>
      <c r="K38" s="6">
        <f>C38*PV_UPDATE+D38*PV_DEPLOY+E38*PV_HELP+F38*PV_BLOG+G38*PV_PR+H38*PV_BUILDNIGHT+I38*PV_MENTOR+J38*PV_DEMO</f>
        <v>0</v>
      </c>
    </row>
    <row r="39" ht="15.75" customHeight="1">
      <c r="A39" s="7" t="s">
        <v>156</v>
      </c>
      <c r="B39" s="7" t="s">
        <v>157</v>
      </c>
      <c r="C39" s="19">
        <v>0.0</v>
      </c>
      <c r="D39" s="19">
        <v>0.0</v>
      </c>
      <c r="E39" s="19"/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6">
        <f>C39*PV_UPDATE+D39*PV_DEPLOY+E39*PV_HELP+F39*PV_BLOG+G39*PV_PR+H39*PV_BUILDNIGHT+I39*PV_MENTOR+J39*PV_DEMO</f>
        <v>0</v>
      </c>
    </row>
    <row r="40" ht="15.75" customHeight="1">
      <c r="A40" s="7" t="s">
        <v>158</v>
      </c>
      <c r="B40" s="7" t="s">
        <v>159</v>
      </c>
      <c r="C40" s="19">
        <v>0.0</v>
      </c>
      <c r="D40" s="19">
        <v>0.0</v>
      </c>
      <c r="E40" s="19"/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6">
        <f>C40*PV_UPDATE+D40*PV_DEPLOY+E40*PV_HELP+F40*PV_BLOG+G40*PV_PR+H40*PV_BUILDNIGHT+I40*PV_MENTOR+J40*PV_DEMO</f>
        <v>0</v>
      </c>
    </row>
    <row r="41" ht="15.75" customHeight="1">
      <c r="A41" s="7" t="s">
        <v>160</v>
      </c>
      <c r="B41" s="7" t="s">
        <v>161</v>
      </c>
      <c r="C41" s="19">
        <v>0.0</v>
      </c>
      <c r="D41" s="19">
        <v>0.0</v>
      </c>
      <c r="E41" s="19"/>
      <c r="F41" s="19">
        <v>0.0</v>
      </c>
      <c r="G41" s="19">
        <v>0.0</v>
      </c>
      <c r="H41" s="19">
        <v>0.0</v>
      </c>
      <c r="I41" s="19">
        <v>0.0</v>
      </c>
      <c r="J41" s="19">
        <v>0.0</v>
      </c>
      <c r="K41" s="6">
        <f>C41*PV_UPDATE+D41*PV_DEPLOY+E41*PV_HELP+F41*PV_BLOG+G41*PV_PR+H41*PV_BUILDNIGHT+I41*PV_MENTOR+J41*PV_DEMO</f>
        <v>0</v>
      </c>
    </row>
    <row r="42" ht="15.75" customHeight="1">
      <c r="A42" s="7" t="s">
        <v>162</v>
      </c>
      <c r="B42" s="7" t="s">
        <v>163</v>
      </c>
      <c r="C42" s="19">
        <v>0.0</v>
      </c>
      <c r="D42" s="19">
        <v>0.0</v>
      </c>
      <c r="E42" s="19"/>
      <c r="F42" s="19">
        <v>0.0</v>
      </c>
      <c r="G42" s="19">
        <v>0.0</v>
      </c>
      <c r="H42" s="19">
        <v>0.0</v>
      </c>
      <c r="I42" s="19">
        <v>0.0</v>
      </c>
      <c r="J42" s="19">
        <v>0.0</v>
      </c>
      <c r="K42" s="6">
        <f>C42*PV_UPDATE+D42*PV_DEPLOY+E42*PV_HELP+F42*PV_BLOG+G42*PV_PR+H42*PV_BUILDNIGHT+I42*PV_MENTOR+J42*PV_DEMO</f>
        <v>0</v>
      </c>
    </row>
    <row r="43" ht="15.75" customHeight="1">
      <c r="A43" s="7" t="s">
        <v>164</v>
      </c>
      <c r="B43" s="7" t="s">
        <v>165</v>
      </c>
      <c r="C43" s="18">
        <v>1.0</v>
      </c>
      <c r="D43" s="18">
        <v>1.0</v>
      </c>
      <c r="E43" s="19"/>
      <c r="F43" s="18">
        <v>2.0</v>
      </c>
      <c r="G43" s="19">
        <v>0.0</v>
      </c>
      <c r="H43" s="18">
        <v>1.0</v>
      </c>
      <c r="I43" s="19">
        <v>0.0</v>
      </c>
      <c r="J43" s="19">
        <v>0.0</v>
      </c>
      <c r="K43" s="6">
        <f>C43*PV_UPDATE+D43*PV_DEPLOY+E43*PV_HELP+F43*PV_BLOG+G43*PV_PR+H43*PV_BUILDNIGHT+I43*PV_MENTOR+J43*PV_DEMO</f>
        <v>80</v>
      </c>
    </row>
    <row r="44" ht="15.75" customHeight="1">
      <c r="A44" s="7" t="s">
        <v>167</v>
      </c>
      <c r="B44" s="7" t="s">
        <v>168</v>
      </c>
      <c r="C44" s="19">
        <v>0.0</v>
      </c>
      <c r="D44" s="19">
        <v>0.0</v>
      </c>
      <c r="E44" s="19"/>
      <c r="F44" s="19">
        <v>0.0</v>
      </c>
      <c r="G44" s="19">
        <v>0.0</v>
      </c>
      <c r="H44" s="19">
        <v>0.0</v>
      </c>
      <c r="I44" s="19">
        <v>0.0</v>
      </c>
      <c r="J44" s="19">
        <v>0.0</v>
      </c>
      <c r="K44" s="6">
        <f>C44*PV_UPDATE+D44*PV_DEPLOY+E44*PV_HELP+F44*PV_BLOG+G44*PV_PR+H44*PV_BUILDNIGHT+I44*PV_MENTOR+J44*PV_DEMO</f>
        <v>0</v>
      </c>
    </row>
    <row r="45" ht="15.75" customHeight="1">
      <c r="A45" s="7" t="s">
        <v>169</v>
      </c>
      <c r="B45" s="7" t="s">
        <v>170</v>
      </c>
      <c r="C45" s="19">
        <v>0.0</v>
      </c>
      <c r="D45" s="19">
        <v>0.0</v>
      </c>
      <c r="E45" s="19"/>
      <c r="F45" s="19">
        <v>0.0</v>
      </c>
      <c r="G45" s="19">
        <v>0.0</v>
      </c>
      <c r="H45" s="19">
        <v>0.0</v>
      </c>
      <c r="I45" s="19">
        <v>0.0</v>
      </c>
      <c r="J45" s="19">
        <v>0.0</v>
      </c>
      <c r="K45" s="6">
        <f>C45*PV_UPDATE+D45*PV_DEPLOY+E45*PV_HELP+F45*PV_BLOG+G45*PV_PR+H45*PV_BUILDNIGHT+I45*PV_MENTOR+J45*PV_DEMO</f>
        <v>0</v>
      </c>
    </row>
    <row r="46" ht="15.75" customHeight="1">
      <c r="A46" s="7" t="s">
        <v>171</v>
      </c>
      <c r="B46" s="7" t="s">
        <v>172</v>
      </c>
      <c r="C46" s="19">
        <v>0.0</v>
      </c>
      <c r="D46" s="19">
        <v>0.0</v>
      </c>
      <c r="E46" s="19"/>
      <c r="F46" s="19">
        <v>0.0</v>
      </c>
      <c r="G46" s="19">
        <v>0.0</v>
      </c>
      <c r="H46" s="19">
        <v>0.0</v>
      </c>
      <c r="I46" s="19">
        <v>0.0</v>
      </c>
      <c r="J46" s="19">
        <v>0.0</v>
      </c>
      <c r="K46" s="6">
        <f>C46*PV_UPDATE+D46*PV_DEPLOY+E46*PV_HELP+F46*PV_BLOG+G46*PV_PR+H46*PV_BUILDNIGHT+I46*PV_MENTOR+J46*PV_DEMO</f>
        <v>0</v>
      </c>
    </row>
    <row r="47" ht="15.75" customHeight="1">
      <c r="A47" s="7" t="s">
        <v>173</v>
      </c>
      <c r="B47" s="7" t="s">
        <v>174</v>
      </c>
      <c r="C47" s="18">
        <v>1.0</v>
      </c>
      <c r="D47" s="18">
        <v>1.0</v>
      </c>
      <c r="E47" s="19"/>
      <c r="F47" s="18">
        <v>2.0</v>
      </c>
      <c r="G47" s="18">
        <v>2.0</v>
      </c>
      <c r="H47" s="18">
        <v>1.0</v>
      </c>
      <c r="I47" s="19">
        <v>0.0</v>
      </c>
      <c r="J47" s="19">
        <v>0.0</v>
      </c>
      <c r="K47" s="6">
        <f>C47*PV_UPDATE+D47*PV_DEPLOY+E47*PV_HELP+F47*PV_BLOG+G47*PV_PR+H47*PV_BUILDNIGHT+I47*PV_MENTOR+J47*PV_DEMO</f>
        <v>130</v>
      </c>
    </row>
    <row r="48" ht="15.75" customHeight="1">
      <c r="A48" s="7" t="s">
        <v>175</v>
      </c>
      <c r="B48" s="7" t="s">
        <v>176</v>
      </c>
      <c r="C48" s="19">
        <v>0.0</v>
      </c>
      <c r="D48" s="19">
        <v>0.0</v>
      </c>
      <c r="E48" s="19"/>
      <c r="F48" s="19">
        <v>0.0</v>
      </c>
      <c r="G48" s="19">
        <v>0.0</v>
      </c>
      <c r="H48" s="19">
        <v>0.0</v>
      </c>
      <c r="I48" s="19">
        <v>0.0</v>
      </c>
      <c r="J48" s="19">
        <v>0.0</v>
      </c>
      <c r="K48" s="6">
        <f>C48*PV_UPDATE+D48*PV_DEPLOY+E48*PV_HELP+F48*PV_BLOG+G48*PV_PR+H48*PV_BUILDNIGHT+I48*PV_MENTOR+J48*PV_DEMO</f>
        <v>0</v>
      </c>
    </row>
    <row r="49" ht="15.75" customHeight="1">
      <c r="A49" s="7" t="s">
        <v>177</v>
      </c>
      <c r="B49" s="7" t="s">
        <v>178</v>
      </c>
      <c r="C49" s="19">
        <v>0.0</v>
      </c>
      <c r="D49" s="19">
        <v>0.0</v>
      </c>
      <c r="E49" s="19"/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6">
        <f>C49*PV_UPDATE+D49*PV_DEPLOY+E49*PV_HELP+F49*PV_BLOG+G49*PV_PR+H49*PV_BUILDNIGHT+I49*PV_MENTOR+J49*PV_DEMO</f>
        <v>0</v>
      </c>
    </row>
    <row r="50" ht="15.75" customHeight="1">
      <c r="A50" s="7" t="s">
        <v>179</v>
      </c>
      <c r="B50" s="7" t="s">
        <v>180</v>
      </c>
      <c r="C50" s="19">
        <v>0.0</v>
      </c>
      <c r="D50" s="19">
        <v>0.0</v>
      </c>
      <c r="E50" s="19"/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6">
        <f>C50*PV_UPDATE+D50*PV_DEPLOY+E50*PV_HELP+F50*PV_BLOG+G50*PV_PR+H50*PV_BUILDNIGHT+I50*PV_MENTOR+J50*PV_DEMO</f>
        <v>0</v>
      </c>
    </row>
    <row r="51" ht="15.75" customHeight="1">
      <c r="A51" s="7" t="s">
        <v>181</v>
      </c>
      <c r="B51" s="7" t="s">
        <v>182</v>
      </c>
      <c r="C51" s="19">
        <v>0.0</v>
      </c>
      <c r="D51" s="19">
        <v>0.0</v>
      </c>
      <c r="E51" s="19"/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6">
        <f>C51*PV_UPDATE+D51*PV_DEPLOY+E51*PV_HELP+F51*PV_BLOG+G51*PV_PR+H51*PV_BUILDNIGHT+I51*PV_MENTOR+J51*PV_DEMO</f>
        <v>0</v>
      </c>
    </row>
    <row r="52" ht="15.75" customHeight="1">
      <c r="A52" s="7" t="s">
        <v>183</v>
      </c>
      <c r="B52" s="7" t="s">
        <v>184</v>
      </c>
      <c r="C52" s="19">
        <v>0.0</v>
      </c>
      <c r="D52" s="19">
        <v>0.0</v>
      </c>
      <c r="E52" s="19"/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6">
        <f>C52*PV_UPDATE+D52*PV_DEPLOY+E52*PV_HELP+F52*PV_BLOG+G52*PV_PR+H52*PV_BUILDNIGHT+I52*PV_MENTOR+J52*PV_DEMO</f>
        <v>0</v>
      </c>
    </row>
    <row r="53" ht="15.75" customHeight="1">
      <c r="A53" s="7" t="s">
        <v>185</v>
      </c>
      <c r="B53" s="7" t="s">
        <v>186</v>
      </c>
      <c r="C53" s="18">
        <v>1.0</v>
      </c>
      <c r="D53" s="18">
        <v>1.0</v>
      </c>
      <c r="E53" s="19"/>
      <c r="F53" s="18">
        <v>1.0</v>
      </c>
      <c r="G53" s="18">
        <v>4.0</v>
      </c>
      <c r="H53" s="18">
        <v>1.0</v>
      </c>
      <c r="I53" s="19">
        <v>0.0</v>
      </c>
      <c r="J53" s="19">
        <v>0.0</v>
      </c>
      <c r="K53" s="6">
        <f>C53*PV_UPDATE+D53*PV_DEPLOY+E53*PV_HELP+F53*PV_BLOG+G53*PV_PR+H53*PV_BUILDNIGHT+I53*PV_MENTOR+J53*PV_DEMO</f>
        <v>160</v>
      </c>
    </row>
    <row r="54" ht="15.75" customHeight="1">
      <c r="A54" s="7" t="s">
        <v>187</v>
      </c>
      <c r="B54" s="7" t="s">
        <v>188</v>
      </c>
      <c r="C54" s="19">
        <v>0.0</v>
      </c>
      <c r="D54" s="19">
        <v>0.0</v>
      </c>
      <c r="E54" s="19"/>
      <c r="F54" s="19">
        <v>0.0</v>
      </c>
      <c r="G54" s="19">
        <v>0.0</v>
      </c>
      <c r="H54" s="19">
        <v>0.0</v>
      </c>
      <c r="I54" s="19">
        <v>0.0</v>
      </c>
      <c r="J54" s="19">
        <v>0.0</v>
      </c>
      <c r="K54" s="6">
        <f>C54*PV_UPDATE+D54*PV_DEPLOY+E54*PV_HELP+F54*PV_BLOG+G54*PV_PR+H54*PV_BUILDNIGHT+I54*PV_MENTOR+J54*PV_DEMO</f>
        <v>0</v>
      </c>
    </row>
    <row r="55" ht="15.75" customHeight="1">
      <c r="A55" s="7" t="s">
        <v>189</v>
      </c>
      <c r="B55" s="7" t="s">
        <v>190</v>
      </c>
      <c r="C55" s="19">
        <v>0.0</v>
      </c>
      <c r="D55" s="19">
        <v>0.0</v>
      </c>
      <c r="E55" s="19"/>
      <c r="F55" s="19">
        <v>0.0</v>
      </c>
      <c r="G55" s="19">
        <v>0.0</v>
      </c>
      <c r="H55" s="19">
        <v>0.0</v>
      </c>
      <c r="I55" s="19">
        <v>0.0</v>
      </c>
      <c r="J55" s="19">
        <v>0.0</v>
      </c>
      <c r="K55" s="6">
        <f>C55*PV_UPDATE+D55*PV_DEPLOY+E55*PV_HELP+F55*PV_BLOG+G55*PV_PR+H55*PV_BUILDNIGHT+I55*PV_MENTOR+J55*PV_DEMO</f>
        <v>0</v>
      </c>
    </row>
    <row r="56" ht="15.75" customHeight="1">
      <c r="A56" s="7" t="s">
        <v>191</v>
      </c>
      <c r="B56" s="7" t="s">
        <v>192</v>
      </c>
      <c r="C56" s="19">
        <v>0.0</v>
      </c>
      <c r="D56" s="19">
        <v>0.0</v>
      </c>
      <c r="E56" s="19"/>
      <c r="F56" s="19">
        <v>0.0</v>
      </c>
      <c r="G56" s="19">
        <v>0.0</v>
      </c>
      <c r="H56" s="19">
        <v>0.0</v>
      </c>
      <c r="I56" s="19">
        <v>0.0</v>
      </c>
      <c r="J56" s="19">
        <v>0.0</v>
      </c>
      <c r="K56" s="6">
        <f>C56*PV_UPDATE+D56*PV_DEPLOY+E56*PV_HELP+F56*PV_BLOG+G56*PV_PR+H56*PV_BUILDNIGHT+I56*PV_MENTOR+J56*PV_DEMO</f>
        <v>0</v>
      </c>
    </row>
    <row r="57" ht="15.75" customHeight="1">
      <c r="A57" s="7" t="s">
        <v>193</v>
      </c>
      <c r="B57" s="7" t="s">
        <v>194</v>
      </c>
      <c r="C57" s="19">
        <v>0.0</v>
      </c>
      <c r="D57" s="19">
        <v>0.0</v>
      </c>
      <c r="E57" s="19"/>
      <c r="F57" s="19">
        <v>0.0</v>
      </c>
      <c r="G57" s="19">
        <v>0.0</v>
      </c>
      <c r="H57" s="19">
        <v>0.0</v>
      </c>
      <c r="I57" s="19">
        <v>0.0</v>
      </c>
      <c r="J57" s="19">
        <v>0.0</v>
      </c>
      <c r="K57" s="6">
        <f>C57*PV_UPDATE+D57*PV_DEPLOY+E57*PV_HELP+F57*PV_BLOG+G57*PV_PR+H57*PV_BUILDNIGHT+I57*PV_MENTOR+J57*PV_DEMO</f>
        <v>0</v>
      </c>
    </row>
    <row r="58" ht="15.75" customHeight="1">
      <c r="A58" s="7" t="s">
        <v>195</v>
      </c>
      <c r="B58" s="7" t="s">
        <v>196</v>
      </c>
      <c r="C58" s="19">
        <v>0.0</v>
      </c>
      <c r="D58" s="19">
        <v>0.0</v>
      </c>
      <c r="E58" s="19"/>
      <c r="F58" s="19">
        <v>0.0</v>
      </c>
      <c r="G58" s="19">
        <v>0.0</v>
      </c>
      <c r="H58" s="19">
        <v>0.0</v>
      </c>
      <c r="I58" s="19">
        <v>0.0</v>
      </c>
      <c r="J58" s="19">
        <v>0.0</v>
      </c>
      <c r="K58" s="6">
        <f>C58*PV_UPDATE+D58*PV_DEPLOY+E58*PV_HELP+F58*PV_BLOG+G58*PV_PR+H58*PV_BUILDNIGHT+I58*PV_MENTOR+J58*PV_DEMO</f>
        <v>0</v>
      </c>
    </row>
    <row r="59" ht="15.75" customHeight="1">
      <c r="A59" s="7" t="s">
        <v>197</v>
      </c>
      <c r="B59" s="7" t="s">
        <v>198</v>
      </c>
      <c r="C59" s="19">
        <v>0.0</v>
      </c>
      <c r="D59" s="19">
        <v>0.0</v>
      </c>
      <c r="E59" s="19"/>
      <c r="F59" s="19">
        <v>0.0</v>
      </c>
      <c r="G59" s="19">
        <v>0.0</v>
      </c>
      <c r="H59" s="19">
        <v>0.0</v>
      </c>
      <c r="I59" s="19">
        <v>0.0</v>
      </c>
      <c r="J59" s="19">
        <v>0.0</v>
      </c>
      <c r="K59" s="6">
        <f>C59*PV_UPDATE+D59*PV_DEPLOY+E59*PV_HELP+F59*PV_BLOG+G59*PV_PR+H59*PV_BUILDNIGHT+I59*PV_MENTOR+J59*PV_DEMO</f>
        <v>0</v>
      </c>
    </row>
    <row r="60" ht="15.75" customHeight="1">
      <c r="A60" s="7" t="s">
        <v>199</v>
      </c>
      <c r="B60" s="7" t="s">
        <v>200</v>
      </c>
      <c r="C60" s="19">
        <v>0.0</v>
      </c>
      <c r="D60" s="19">
        <v>0.0</v>
      </c>
      <c r="E60" s="19"/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6">
        <f>C60*PV_UPDATE+D60*PV_DEPLOY+E60*PV_HELP+F60*PV_BLOG+G60*PV_PR+H60*PV_BUILDNIGHT+I60*PV_MENTOR+J60*PV_DEMO</f>
        <v>0</v>
      </c>
    </row>
    <row r="61" ht="15.75" customHeight="1">
      <c r="A61" s="7" t="s">
        <v>201</v>
      </c>
      <c r="B61" s="7" t="s">
        <v>202</v>
      </c>
      <c r="C61" s="19">
        <v>0.0</v>
      </c>
      <c r="D61" s="19">
        <v>0.0</v>
      </c>
      <c r="E61" s="19"/>
      <c r="F61" s="19">
        <v>0.0</v>
      </c>
      <c r="G61" s="19">
        <v>0.0</v>
      </c>
      <c r="H61" s="19">
        <v>0.0</v>
      </c>
      <c r="I61" s="19">
        <v>0.0</v>
      </c>
      <c r="J61" s="19">
        <v>0.0</v>
      </c>
      <c r="K61" s="6">
        <f>C61*PV_UPDATE+D61*PV_DEPLOY+E61*PV_HELP+F61*PV_BLOG+G61*PV_PR+H61*PV_BUILDNIGHT+I61*PV_MENTOR+J61*PV_DEMO</f>
        <v>0</v>
      </c>
    </row>
    <row r="62" ht="15.75" customHeight="1">
      <c r="A62" s="7" t="s">
        <v>203</v>
      </c>
      <c r="B62" s="7" t="s">
        <v>204</v>
      </c>
      <c r="C62" s="19">
        <v>0.0</v>
      </c>
      <c r="D62" s="19">
        <v>0.0</v>
      </c>
      <c r="E62" s="19"/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6">
        <f>C62*PV_UPDATE+D62*PV_DEPLOY+E62*PV_HELP+F62*PV_BLOG+G62*PV_PR+H62*PV_BUILDNIGHT+I62*PV_MENTOR+J62*PV_DEMO</f>
        <v>0</v>
      </c>
    </row>
    <row r="63" ht="15.75" customHeight="1">
      <c r="A63" s="7" t="s">
        <v>205</v>
      </c>
      <c r="B63" s="7" t="s">
        <v>206</v>
      </c>
      <c r="C63" s="19">
        <v>0.0</v>
      </c>
      <c r="D63" s="19">
        <v>0.0</v>
      </c>
      <c r="E63" s="19"/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6">
        <f>C63*PV_UPDATE+D63*PV_DEPLOY+E63*PV_HELP+F63*PV_BLOG+G63*PV_PR+H63*PV_BUILDNIGHT+I63*PV_MENTOR+J63*PV_DEMO</f>
        <v>0</v>
      </c>
    </row>
    <row r="64" ht="15.75" customHeight="1">
      <c r="A64" s="7" t="s">
        <v>207</v>
      </c>
      <c r="B64" s="7" t="s">
        <v>208</v>
      </c>
      <c r="C64" s="19">
        <v>0.0</v>
      </c>
      <c r="D64" s="19">
        <v>0.0</v>
      </c>
      <c r="E64" s="19"/>
      <c r="F64" s="18">
        <v>2.0</v>
      </c>
      <c r="G64" s="19">
        <v>0.0</v>
      </c>
      <c r="H64" s="18">
        <v>1.0</v>
      </c>
      <c r="I64" s="19">
        <v>0.0</v>
      </c>
      <c r="J64" s="19">
        <v>0.0</v>
      </c>
      <c r="K64" s="6">
        <f>C64*PV_UPDATE+D64*PV_DEPLOY+E64*PV_HELP+F64*PV_BLOG+G64*PV_PR+H64*PV_BUILDNIGHT+I64*PV_MENTOR+J64*PV_DEMO</f>
        <v>55</v>
      </c>
    </row>
    <row r="65" ht="15.75" customHeight="1">
      <c r="A65" s="7" t="s">
        <v>209</v>
      </c>
      <c r="B65" s="7" t="s">
        <v>210</v>
      </c>
      <c r="C65" s="19">
        <v>0.0</v>
      </c>
      <c r="D65" s="19">
        <v>0.0</v>
      </c>
      <c r="E65" s="19"/>
      <c r="F65" s="19">
        <v>0.0</v>
      </c>
      <c r="G65" s="19">
        <v>0.0</v>
      </c>
      <c r="H65" s="19">
        <v>0.0</v>
      </c>
      <c r="I65" s="19">
        <v>0.0</v>
      </c>
      <c r="J65" s="19">
        <v>0.0</v>
      </c>
      <c r="K65" s="6">
        <f>C65*PV_UPDATE+D65*PV_DEPLOY+E65*PV_HELP+F65*PV_BLOG+G65*PV_PR+H65*PV_BUILDNIGHT+I65*PV_MENTOR+J65*PV_DEMO</f>
        <v>0</v>
      </c>
    </row>
    <row r="66" ht="15.75" customHeight="1">
      <c r="A66" s="7" t="s">
        <v>211</v>
      </c>
      <c r="B66" s="7" t="s">
        <v>212</v>
      </c>
      <c r="C66" s="19">
        <v>0.0</v>
      </c>
      <c r="D66" s="19">
        <v>0.0</v>
      </c>
      <c r="E66" s="19"/>
      <c r="F66" s="19">
        <v>0.0</v>
      </c>
      <c r="G66" s="19">
        <v>0.0</v>
      </c>
      <c r="H66" s="19">
        <v>0.0</v>
      </c>
      <c r="I66" s="19">
        <v>0.0</v>
      </c>
      <c r="J66" s="19">
        <v>0.0</v>
      </c>
      <c r="K66" s="6">
        <f>C66*PV_UPDATE+D66*PV_DEPLOY+E66*PV_HELP+F66*PV_BLOG+G66*PV_PR+H66*PV_BUILDNIGHT+I66*PV_MENTOR+J66*PV_DEMO</f>
        <v>0</v>
      </c>
    </row>
    <row r="67" ht="15.75" customHeight="1">
      <c r="A67" s="7" t="s">
        <v>213</v>
      </c>
      <c r="B67" s="7" t="s">
        <v>214</v>
      </c>
      <c r="C67" s="19">
        <v>0.0</v>
      </c>
      <c r="D67" s="19">
        <v>0.0</v>
      </c>
      <c r="E67" s="19"/>
      <c r="F67" s="19">
        <v>0.0</v>
      </c>
      <c r="G67" s="19">
        <v>0.0</v>
      </c>
      <c r="H67" s="19">
        <v>0.0</v>
      </c>
      <c r="I67" s="19">
        <v>0.0</v>
      </c>
      <c r="J67" s="19">
        <v>0.0</v>
      </c>
      <c r="K67" s="6">
        <f>C67*PV_UPDATE+D67*PV_DEPLOY+E67*PV_HELP+F67*PV_BLOG+G67*PV_PR+H67*PV_BUILDNIGHT+I67*PV_MENTOR+J67*PV_DEMO</f>
        <v>0</v>
      </c>
    </row>
    <row r="68" ht="15.75" customHeight="1">
      <c r="A68" s="7" t="s">
        <v>215</v>
      </c>
      <c r="B68" s="7" t="s">
        <v>216</v>
      </c>
      <c r="C68" s="19">
        <v>0.0</v>
      </c>
      <c r="D68" s="19">
        <v>0.0</v>
      </c>
      <c r="E68" s="19"/>
      <c r="F68" s="19">
        <v>0.0</v>
      </c>
      <c r="G68" s="19">
        <v>0.0</v>
      </c>
      <c r="H68" s="18">
        <v>1.0</v>
      </c>
      <c r="I68" s="19">
        <v>0.0</v>
      </c>
      <c r="J68" s="19">
        <v>0.0</v>
      </c>
      <c r="K68" s="6">
        <f>C68*PV_UPDATE+D68*PV_DEPLOY+E68*PV_HELP+F68*PV_BLOG+G68*PV_PR+H68*PV_BUILDNIGHT+I68*PV_MENTOR+J68*PV_DEMO</f>
        <v>15</v>
      </c>
    </row>
    <row r="69" ht="15.75" customHeight="1">
      <c r="A69" s="7" t="s">
        <v>217</v>
      </c>
      <c r="B69" s="7" t="s">
        <v>218</v>
      </c>
      <c r="C69" s="19">
        <v>0.0</v>
      </c>
      <c r="D69" s="19">
        <v>0.0</v>
      </c>
      <c r="E69" s="19"/>
      <c r="F69" s="19">
        <v>0.0</v>
      </c>
      <c r="G69" s="19">
        <v>0.0</v>
      </c>
      <c r="H69" s="19">
        <v>0.0</v>
      </c>
      <c r="I69" s="19">
        <v>0.0</v>
      </c>
      <c r="J69" s="19">
        <v>0.0</v>
      </c>
      <c r="K69" s="6">
        <f>C69*PV_UPDATE+D69*PV_DEPLOY+E69*PV_HELP+F69*PV_BLOG+G69*PV_PR+H69*PV_BUILDNIGHT+I69*PV_MENTOR+J69*PV_DEMO</f>
        <v>0</v>
      </c>
    </row>
    <row r="70" ht="15.75" customHeight="1">
      <c r="A70" s="7" t="s">
        <v>219</v>
      </c>
      <c r="B70" s="7" t="s">
        <v>220</v>
      </c>
      <c r="C70" s="19">
        <v>0.0</v>
      </c>
      <c r="D70" s="19">
        <v>0.0</v>
      </c>
      <c r="E70" s="19"/>
      <c r="F70" s="19">
        <v>0.0</v>
      </c>
      <c r="G70" s="19">
        <v>0.0</v>
      </c>
      <c r="H70" s="19">
        <v>0.0</v>
      </c>
      <c r="I70" s="19">
        <v>0.0</v>
      </c>
      <c r="J70" s="19">
        <v>0.0</v>
      </c>
      <c r="K70" s="6">
        <f>C70*PV_UPDATE+D70*PV_DEPLOY+E70*PV_HELP+F70*PV_BLOG+G70*PV_PR+H70*PV_BUILDNIGHT+I70*PV_MENTOR+J70*PV_DEMO</f>
        <v>0</v>
      </c>
    </row>
    <row r="71" ht="15.75" customHeight="1">
      <c r="A71" s="7" t="s">
        <v>221</v>
      </c>
      <c r="B71" s="7" t="s">
        <v>222</v>
      </c>
      <c r="C71" s="19">
        <v>0.0</v>
      </c>
      <c r="D71" s="19">
        <v>0.0</v>
      </c>
      <c r="E71" s="19"/>
      <c r="F71" s="19">
        <v>0.0</v>
      </c>
      <c r="G71" s="19">
        <v>0.0</v>
      </c>
      <c r="H71" s="19">
        <v>0.0</v>
      </c>
      <c r="I71" s="19">
        <v>0.0</v>
      </c>
      <c r="J71" s="19">
        <v>0.0</v>
      </c>
      <c r="K71" s="6">
        <f>C71*PV_UPDATE+D71*PV_DEPLOY+E71*PV_HELP+F71*PV_BLOG+G71*PV_PR+H71*PV_BUILDNIGHT+I71*PV_MENTOR+J71*PV_DEMO</f>
        <v>0</v>
      </c>
    </row>
    <row r="72" ht="15.75" customHeight="1">
      <c r="A72" s="7" t="s">
        <v>223</v>
      </c>
      <c r="B72" s="7" t="s">
        <v>224</v>
      </c>
      <c r="C72" s="19">
        <v>0.0</v>
      </c>
      <c r="D72" s="19">
        <v>0.0</v>
      </c>
      <c r="E72" s="19"/>
      <c r="F72" s="19">
        <v>0.0</v>
      </c>
      <c r="G72" s="19">
        <v>0.0</v>
      </c>
      <c r="H72" s="19">
        <v>0.0</v>
      </c>
      <c r="I72" s="19">
        <v>0.0</v>
      </c>
      <c r="J72" s="19">
        <v>0.0</v>
      </c>
      <c r="K72" s="6">
        <f>C72*PV_UPDATE+D72*PV_DEPLOY+E72*PV_HELP+F72*PV_BLOG+G72*PV_PR+H72*PV_BUILDNIGHT+I72*PV_MENTOR+J72*PV_DEMO</f>
        <v>0</v>
      </c>
    </row>
    <row r="73" ht="15.75" customHeight="1">
      <c r="A73" s="7" t="s">
        <v>225</v>
      </c>
      <c r="B73" s="7" t="s">
        <v>226</v>
      </c>
      <c r="C73" s="19">
        <v>0.0</v>
      </c>
      <c r="D73" s="19">
        <v>0.0</v>
      </c>
      <c r="E73" s="19"/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6">
        <f>C73*PV_UPDATE+D73*PV_DEPLOY+E73*PV_HELP+F73*PV_BLOG+G73*PV_PR+H73*PV_BUILDNIGHT+I73*PV_MENTOR+J73*PV_DEMO</f>
        <v>0</v>
      </c>
    </row>
    <row r="74" ht="15.75" customHeight="1">
      <c r="A74" s="7" t="s">
        <v>227</v>
      </c>
      <c r="B74" s="7" t="s">
        <v>228</v>
      </c>
      <c r="C74" s="19">
        <v>0.0</v>
      </c>
      <c r="D74" s="19">
        <v>0.0</v>
      </c>
      <c r="E74" s="19"/>
      <c r="F74" s="19">
        <v>0.0</v>
      </c>
      <c r="G74" s="19">
        <v>0.0</v>
      </c>
      <c r="H74" s="19">
        <v>0.0</v>
      </c>
      <c r="I74" s="19">
        <v>0.0</v>
      </c>
      <c r="J74" s="19">
        <v>0.0</v>
      </c>
      <c r="K74" s="6">
        <f>C74*PV_UPDATE+D74*PV_DEPLOY+E74*PV_HELP+F74*PV_BLOG+G74*PV_PR+H74*PV_BUILDNIGHT+I74*PV_MENTOR+J74*PV_DEMO</f>
        <v>0</v>
      </c>
    </row>
    <row r="75" ht="15.75" customHeight="1">
      <c r="A75" s="7" t="s">
        <v>229</v>
      </c>
      <c r="B75" s="7" t="s">
        <v>230</v>
      </c>
      <c r="C75" s="19">
        <v>0.0</v>
      </c>
      <c r="D75" s="19">
        <v>0.0</v>
      </c>
      <c r="E75" s="19"/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6">
        <f>C75*PV_UPDATE+D75*PV_DEPLOY+E75*PV_HELP+F75*PV_BLOG+G75*PV_PR+H75*PV_BUILDNIGHT+I75*PV_MENTOR+J75*PV_DEMO</f>
        <v>0</v>
      </c>
    </row>
    <row r="76" ht="15.75" customHeight="1">
      <c r="A76" s="7" t="s">
        <v>231</v>
      </c>
      <c r="B76" s="7" t="s">
        <v>232</v>
      </c>
      <c r="C76" s="19">
        <v>0.0</v>
      </c>
      <c r="D76" s="19">
        <v>0.0</v>
      </c>
      <c r="E76" s="19"/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6">
        <f>C76*PV_UPDATE+D76*PV_DEPLOY+E76*PV_HELP+F76*PV_BLOG+G76*PV_PR+H76*PV_BUILDNIGHT+I76*PV_MENTOR+J76*PV_DEMO</f>
        <v>0</v>
      </c>
    </row>
    <row r="77" ht="15.75" customHeight="1">
      <c r="A77" s="7" t="s">
        <v>233</v>
      </c>
      <c r="B77" s="7" t="s">
        <v>234</v>
      </c>
      <c r="C77" s="19">
        <v>0.0</v>
      </c>
      <c r="D77" s="19">
        <v>0.0</v>
      </c>
      <c r="E77" s="19"/>
      <c r="F77" s="19">
        <v>0.0</v>
      </c>
      <c r="G77" s="19">
        <v>0.0</v>
      </c>
      <c r="H77" s="19">
        <v>0.0</v>
      </c>
      <c r="I77" s="19">
        <v>0.0</v>
      </c>
      <c r="J77" s="19">
        <v>0.0</v>
      </c>
      <c r="K77" s="6">
        <f>C77*PV_UPDATE+D77*PV_DEPLOY+E77*PV_HELP+F77*PV_BLOG+G77*PV_PR+H77*PV_BUILDNIGHT+I77*PV_MENTOR+J77*PV_DEMO</f>
        <v>0</v>
      </c>
    </row>
    <row r="78" ht="15.75" customHeight="1">
      <c r="A78" s="7" t="s">
        <v>235</v>
      </c>
      <c r="B78" s="7" t="s">
        <v>236</v>
      </c>
      <c r="C78" s="18">
        <v>1.0</v>
      </c>
      <c r="D78" s="18">
        <v>1.0</v>
      </c>
      <c r="E78" s="19"/>
      <c r="F78" s="18">
        <v>1.0</v>
      </c>
      <c r="G78" s="18">
        <v>5.0</v>
      </c>
      <c r="H78" s="18">
        <v>1.0</v>
      </c>
      <c r="I78" s="19">
        <v>0.0</v>
      </c>
      <c r="J78" s="19">
        <v>0.0</v>
      </c>
      <c r="K78" s="6">
        <f>C78*PV_UPDATE+D78*PV_DEPLOY+E78*PV_HELP+F78*PV_BLOG+G78*PV_PR+H78*PV_BUILDNIGHT+I78*PV_MENTOR+J78*PV_DEMO</f>
        <v>185</v>
      </c>
    </row>
    <row r="79" ht="15.75" customHeight="1">
      <c r="A79" s="7" t="s">
        <v>237</v>
      </c>
      <c r="B79" s="7" t="s">
        <v>238</v>
      </c>
      <c r="C79" s="18">
        <v>1.0</v>
      </c>
      <c r="D79" s="18">
        <v>1.0</v>
      </c>
      <c r="E79" s="19"/>
      <c r="F79" s="18">
        <v>2.0</v>
      </c>
      <c r="G79" s="18">
        <v>2.0</v>
      </c>
      <c r="H79" s="19">
        <v>0.0</v>
      </c>
      <c r="I79" s="19">
        <v>0.0</v>
      </c>
      <c r="J79" s="19">
        <v>0.0</v>
      </c>
      <c r="K79" s="6">
        <f>C79*PV_UPDATE+D79*PV_DEPLOY+E79*PV_HELP+F79*PV_BLOG+G79*PV_PR+H79*PV_BUILDNIGHT+I79*PV_MENTOR+J79*PV_DEMO</f>
        <v>115</v>
      </c>
    </row>
    <row r="80" ht="15.75" customHeight="1">
      <c r="A80" s="7" t="s">
        <v>239</v>
      </c>
      <c r="B80" s="7" t="s">
        <v>240</v>
      </c>
      <c r="C80" s="19">
        <v>0.0</v>
      </c>
      <c r="D80" s="19">
        <v>0.0</v>
      </c>
      <c r="E80" s="19"/>
      <c r="F80" s="19">
        <v>0.0</v>
      </c>
      <c r="G80" s="19">
        <v>0.0</v>
      </c>
      <c r="H80" s="19">
        <v>0.0</v>
      </c>
      <c r="I80" s="19">
        <v>0.0</v>
      </c>
      <c r="J80" s="19">
        <v>0.0</v>
      </c>
      <c r="K80" s="6">
        <f>C80*PV_UPDATE+D80*PV_DEPLOY+E80*PV_HELP+F80*PV_BLOG+G80*PV_PR+H80*PV_BUILDNIGHT+I80*PV_MENTOR+J80*PV_DEMO</f>
        <v>0</v>
      </c>
    </row>
    <row r="81" ht="15.75" customHeight="1">
      <c r="A81" s="7" t="s">
        <v>241</v>
      </c>
      <c r="B81" s="7" t="s">
        <v>242</v>
      </c>
      <c r="C81" s="18">
        <v>1.0</v>
      </c>
      <c r="D81" s="18">
        <v>1.0</v>
      </c>
      <c r="E81" s="19"/>
      <c r="F81" s="18">
        <v>2.0</v>
      </c>
      <c r="G81" s="19">
        <v>0.0</v>
      </c>
      <c r="H81" s="19">
        <v>0.0</v>
      </c>
      <c r="I81" s="19">
        <v>0.0</v>
      </c>
      <c r="J81" s="19">
        <v>0.0</v>
      </c>
      <c r="K81" s="6">
        <f>C81*PV_UPDATE+D81*PV_DEPLOY+E81*PV_HELP+F81*PV_BLOG+G81*PV_PR+H81*PV_BUILDNIGHT+I81*PV_MENTOR+J81*PV_DEMO</f>
        <v>65</v>
      </c>
    </row>
    <row r="82" ht="15.75" customHeight="1">
      <c r="A82" s="7" t="s">
        <v>243</v>
      </c>
      <c r="B82" s="7" t="s">
        <v>244</v>
      </c>
      <c r="C82" s="19">
        <v>0.0</v>
      </c>
      <c r="D82" s="19">
        <v>0.0</v>
      </c>
      <c r="E82" s="19"/>
      <c r="F82" s="19">
        <v>0.0</v>
      </c>
      <c r="G82" s="19">
        <v>0.0</v>
      </c>
      <c r="H82" s="19">
        <v>0.0</v>
      </c>
      <c r="I82" s="19">
        <v>0.0</v>
      </c>
      <c r="J82" s="19">
        <v>0.0</v>
      </c>
      <c r="K82" s="6">
        <f>C82*PV_UPDATE+D82*PV_DEPLOY+E82*PV_HELP+F82*PV_BLOG+G82*PV_PR+H82*PV_BUILDNIGHT+I82*PV_MENTOR+J82*PV_DEMO</f>
        <v>0</v>
      </c>
    </row>
    <row r="83" ht="15.75" customHeight="1">
      <c r="A83" s="7" t="s">
        <v>245</v>
      </c>
      <c r="B83" s="7" t="s">
        <v>246</v>
      </c>
      <c r="C83" s="18">
        <v>1.0</v>
      </c>
      <c r="D83" s="18">
        <v>1.0</v>
      </c>
      <c r="E83" s="19"/>
      <c r="F83" s="18">
        <v>2.0</v>
      </c>
      <c r="G83" s="19">
        <v>0.0</v>
      </c>
      <c r="H83" s="18">
        <v>1.0</v>
      </c>
      <c r="I83" s="19">
        <v>0.0</v>
      </c>
      <c r="J83" s="19">
        <v>0.0</v>
      </c>
      <c r="K83" s="6">
        <f>C83*PV_UPDATE+D83*PV_DEPLOY+E83*PV_HELP+F83*PV_BLOG+G83*PV_PR+H83*PV_BUILDNIGHT+I83*PV_MENTOR+J83*PV_DEMO</f>
        <v>80</v>
      </c>
    </row>
    <row r="84" ht="15.75" customHeight="1">
      <c r="A84" s="7" t="s">
        <v>247</v>
      </c>
      <c r="B84" s="7" t="s">
        <v>248</v>
      </c>
      <c r="C84" s="19">
        <v>0.0</v>
      </c>
      <c r="D84" s="19">
        <v>0.0</v>
      </c>
      <c r="E84" s="19"/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6">
        <f>C84*PV_UPDATE+D84*PV_DEPLOY+E84*PV_HELP+F84*PV_BLOG+G84*PV_PR+H84*PV_BUILDNIGHT+I84*PV_MENTOR+J84*PV_DEMO</f>
        <v>0</v>
      </c>
    </row>
    <row r="85" ht="15.75" customHeight="1">
      <c r="A85" s="7" t="s">
        <v>249</v>
      </c>
      <c r="B85" s="7" t="s">
        <v>250</v>
      </c>
      <c r="C85" s="18">
        <v>1.0</v>
      </c>
      <c r="D85" s="18">
        <v>1.0</v>
      </c>
      <c r="E85" s="19"/>
      <c r="F85" s="18">
        <v>1.0</v>
      </c>
      <c r="G85" s="19">
        <v>0.0</v>
      </c>
      <c r="H85" s="18">
        <v>1.0</v>
      </c>
      <c r="I85" s="19">
        <v>0.0</v>
      </c>
      <c r="J85" s="19">
        <v>0.0</v>
      </c>
      <c r="K85" s="6">
        <f>C85*PV_UPDATE+D85*PV_DEPLOY+E85*PV_HELP+F85*PV_BLOG+G85*PV_PR+H85*PV_BUILDNIGHT+I85*PV_MENTOR+J85*PV_DEMO</f>
        <v>60</v>
      </c>
    </row>
    <row r="86" ht="15.75" customHeight="1">
      <c r="A86" s="7" t="s">
        <v>251</v>
      </c>
      <c r="B86" s="7" t="s">
        <v>252</v>
      </c>
      <c r="C86" s="19">
        <v>0.0</v>
      </c>
      <c r="D86" s="19">
        <v>0.0</v>
      </c>
      <c r="E86" s="19"/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6">
        <f>C86*PV_UPDATE+D86*PV_DEPLOY+E86*PV_HELP+F86*PV_BLOG+G86*PV_PR+H86*PV_BUILDNIGHT+I86*PV_MENTOR+J86*PV_DEMO</f>
        <v>0</v>
      </c>
    </row>
    <row r="87" ht="15.75" customHeight="1">
      <c r="A87" s="7" t="s">
        <v>253</v>
      </c>
      <c r="B87" s="7" t="s">
        <v>254</v>
      </c>
      <c r="C87" s="19">
        <v>0.0</v>
      </c>
      <c r="D87" s="19">
        <v>0.0</v>
      </c>
      <c r="E87" s="19"/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6">
        <f>C87*PV_UPDATE+D87*PV_DEPLOY+E87*PV_HELP+F87*PV_BLOG+G87*PV_PR+H87*PV_BUILDNIGHT+I87*PV_MENTOR+J87*PV_DEMO</f>
        <v>0</v>
      </c>
    </row>
    <row r="88" ht="15.75" customHeight="1">
      <c r="A88" s="7" t="s">
        <v>256</v>
      </c>
      <c r="B88" s="7" t="s">
        <v>257</v>
      </c>
      <c r="C88" s="19">
        <v>0.0</v>
      </c>
      <c r="D88" s="19">
        <v>0.0</v>
      </c>
      <c r="E88" s="19"/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6">
        <f>C88*PV_UPDATE+D88*PV_DEPLOY+E88*PV_HELP+F88*PV_BLOG+G88*PV_PR+H88*PV_BUILDNIGHT+I88*PV_MENTOR+J88*PV_DEMO</f>
        <v>0</v>
      </c>
    </row>
    <row r="89" ht="15.75" customHeight="1">
      <c r="A89" s="7" t="s">
        <v>258</v>
      </c>
      <c r="B89" s="7" t="s">
        <v>259</v>
      </c>
      <c r="C89" s="19">
        <v>0.0</v>
      </c>
      <c r="D89" s="19">
        <v>0.0</v>
      </c>
      <c r="E89" s="19"/>
      <c r="F89" s="19">
        <v>0.0</v>
      </c>
      <c r="G89" s="19">
        <v>0.0</v>
      </c>
      <c r="H89" s="19">
        <v>0.0</v>
      </c>
      <c r="I89" s="19">
        <v>0.0</v>
      </c>
      <c r="J89" s="19">
        <v>0.0</v>
      </c>
      <c r="K89" s="6">
        <f>C89*PV_UPDATE+D89*PV_DEPLOY+E89*PV_HELP+F89*PV_BLOG+G89*PV_PR+H89*PV_BUILDNIGHT+I89*PV_MENTOR+J89*PV_DEMO</f>
        <v>0</v>
      </c>
    </row>
    <row r="90" ht="15.75" customHeight="1">
      <c r="A90" s="7" t="s">
        <v>260</v>
      </c>
      <c r="B90" s="7" t="s">
        <v>261</v>
      </c>
      <c r="C90" s="19">
        <v>0.0</v>
      </c>
      <c r="D90" s="19">
        <v>0.0</v>
      </c>
      <c r="E90" s="19"/>
      <c r="F90" s="19">
        <v>0.0</v>
      </c>
      <c r="G90" s="19">
        <v>0.0</v>
      </c>
      <c r="H90" s="19">
        <v>0.0</v>
      </c>
      <c r="I90" s="19">
        <v>0.0</v>
      </c>
      <c r="J90" s="19">
        <v>0.0</v>
      </c>
      <c r="K90" s="6">
        <f>C90*PV_UPDATE+D90*PV_DEPLOY+E90*PV_HELP+F90*PV_BLOG+G90*PV_PR+H90*PV_BUILDNIGHT+I90*PV_MENTOR+J90*PV_DEMO</f>
        <v>0</v>
      </c>
    </row>
    <row r="91" ht="15.75" customHeight="1">
      <c r="A91" s="7" t="s">
        <v>262</v>
      </c>
      <c r="B91" s="7" t="s">
        <v>263</v>
      </c>
      <c r="C91" s="19">
        <v>0.0</v>
      </c>
      <c r="D91" s="19">
        <v>0.0</v>
      </c>
      <c r="E91" s="19"/>
      <c r="F91" s="19">
        <v>0.0</v>
      </c>
      <c r="G91" s="19">
        <v>0.0</v>
      </c>
      <c r="H91" s="19">
        <v>0.0</v>
      </c>
      <c r="I91" s="19">
        <v>0.0</v>
      </c>
      <c r="J91" s="19">
        <v>0.0</v>
      </c>
      <c r="K91" s="6">
        <f>C91*PV_UPDATE+D91*PV_DEPLOY+E91*PV_HELP+F91*PV_BLOG+G91*PV_PR+H91*PV_BUILDNIGHT+I91*PV_MENTOR+J91*PV_DEMO</f>
        <v>0</v>
      </c>
    </row>
    <row r="92" ht="15.75" customHeight="1">
      <c r="A92" s="7" t="s">
        <v>264</v>
      </c>
      <c r="B92" s="7" t="s">
        <v>265</v>
      </c>
      <c r="C92" s="19">
        <v>0.0</v>
      </c>
      <c r="D92" s="19">
        <v>0.0</v>
      </c>
      <c r="E92" s="19"/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6">
        <f>C92*PV_UPDATE+D92*PV_DEPLOY+E92*PV_HELP+F92*PV_BLOG+G92*PV_PR+H92*PV_BUILDNIGHT+I92*PV_MENTOR+J92*PV_DEMO</f>
        <v>0</v>
      </c>
    </row>
    <row r="93" ht="15.75" customHeight="1">
      <c r="A93" s="7" t="s">
        <v>266</v>
      </c>
      <c r="B93" s="7" t="s">
        <v>267</v>
      </c>
      <c r="C93" s="18">
        <v>1.0</v>
      </c>
      <c r="D93" s="18">
        <v>1.0</v>
      </c>
      <c r="E93" s="19"/>
      <c r="F93" s="18">
        <v>2.0</v>
      </c>
      <c r="G93" s="18">
        <v>4.0</v>
      </c>
      <c r="H93" s="18">
        <v>1.0</v>
      </c>
      <c r="I93" s="19">
        <v>0.0</v>
      </c>
      <c r="J93" s="19">
        <v>0.0</v>
      </c>
      <c r="K93" s="6">
        <f>C93*PV_UPDATE+D93*PV_DEPLOY+E93*PV_HELP+F93*PV_BLOG+G93*PV_PR+H93*PV_BUILDNIGHT+I93*PV_MENTOR+J93*PV_DEMO</f>
        <v>180</v>
      </c>
    </row>
    <row r="94" ht="15.75" customHeight="1">
      <c r="A94" s="7" t="s">
        <v>268</v>
      </c>
      <c r="B94" s="7" t="s">
        <v>269</v>
      </c>
      <c r="C94" s="19">
        <v>0.0</v>
      </c>
      <c r="D94" s="19">
        <v>0.0</v>
      </c>
      <c r="E94" s="19"/>
      <c r="F94" s="19">
        <v>0.0</v>
      </c>
      <c r="G94" s="19">
        <v>0.0</v>
      </c>
      <c r="H94" s="19">
        <v>0.0</v>
      </c>
      <c r="I94" s="19">
        <v>0.0</v>
      </c>
      <c r="J94" s="19">
        <v>0.0</v>
      </c>
      <c r="K94" s="6">
        <f>C94*PV_UPDATE+D94*PV_DEPLOY+E94*PV_HELP+F94*PV_BLOG+G94*PV_PR+H94*PV_BUILDNIGHT+I94*PV_MENTOR+J94*PV_DEMO</f>
        <v>0</v>
      </c>
    </row>
    <row r="95" ht="15.75" customHeight="1">
      <c r="A95" s="7" t="s">
        <v>270</v>
      </c>
      <c r="B95" s="7" t="s">
        <v>271</v>
      </c>
      <c r="C95" s="18">
        <v>1.0</v>
      </c>
      <c r="D95" s="18">
        <v>1.0</v>
      </c>
      <c r="E95" s="19"/>
      <c r="F95" s="18">
        <v>2.0</v>
      </c>
      <c r="G95" s="18">
        <v>1.0</v>
      </c>
      <c r="H95" s="18">
        <v>1.0</v>
      </c>
      <c r="I95" s="19">
        <v>0.0</v>
      </c>
      <c r="J95" s="19">
        <v>0.0</v>
      </c>
      <c r="K95" s="6">
        <f>C95*PV_UPDATE+D95*PV_DEPLOY+E95*PV_HELP+F95*PV_BLOG+G95*PV_PR+H95*PV_BUILDNIGHT+I95*PV_MENTOR+J95*PV_DEMO</f>
        <v>105</v>
      </c>
    </row>
    <row r="96" ht="15.75" customHeight="1">
      <c r="A96" s="7" t="s">
        <v>272</v>
      </c>
      <c r="B96" s="7" t="s">
        <v>273</v>
      </c>
      <c r="C96" s="19">
        <v>0.0</v>
      </c>
      <c r="D96" s="19">
        <v>0.0</v>
      </c>
      <c r="E96" s="19"/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6">
        <f>C96*PV_UPDATE+D96*PV_DEPLOY+E96*PV_HELP+F96*PV_BLOG+G96*PV_PR+H96*PV_BUILDNIGHT+I96*PV_MENTOR+J96*PV_DEMO</f>
        <v>0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16.0"/>
    <col customWidth="1" min="4" max="4" width="10.0"/>
    <col customWidth="1" min="5" max="5" width="16.0"/>
    <col customWidth="1" min="6" max="7" width="11.0"/>
    <col customWidth="1" min="8" max="8" width="16.0"/>
    <col customWidth="1" min="9" max="9" width="18.0"/>
    <col customWidth="1" min="10" max="11" width="13.0"/>
    <col customWidth="1" min="12" max="26" width="8.71"/>
  </cols>
  <sheetData>
    <row r="1">
      <c r="A1" s="3" t="s">
        <v>69</v>
      </c>
      <c r="B1" s="3" t="s">
        <v>70</v>
      </c>
      <c r="C1" s="3" t="s">
        <v>495</v>
      </c>
      <c r="D1" s="3" t="s">
        <v>496</v>
      </c>
      <c r="E1" s="3"/>
      <c r="F1" s="3" t="s">
        <v>497</v>
      </c>
      <c r="G1" s="3" t="s">
        <v>498</v>
      </c>
      <c r="H1" s="3" t="s">
        <v>499</v>
      </c>
      <c r="I1" s="3" t="s">
        <v>500</v>
      </c>
      <c r="J1" s="3" t="s">
        <v>501</v>
      </c>
      <c r="K1" s="3" t="s">
        <v>502</v>
      </c>
    </row>
    <row r="2">
      <c r="A2" s="7" t="s">
        <v>79</v>
      </c>
      <c r="B2" s="7" t="s">
        <v>80</v>
      </c>
      <c r="C2" s="18">
        <v>1.0</v>
      </c>
      <c r="D2" s="18">
        <v>1.0</v>
      </c>
      <c r="E2" s="19"/>
      <c r="F2" s="18">
        <v>2.0</v>
      </c>
      <c r="G2" s="18">
        <v>9.0</v>
      </c>
      <c r="H2" s="19">
        <v>0.0</v>
      </c>
      <c r="I2" s="19">
        <v>0.0</v>
      </c>
      <c r="J2" s="19">
        <v>0.0</v>
      </c>
      <c r="K2" s="6">
        <f>C2*PV_UPDATE+D2*PV_DEPLOY+E2*PV_HELP+F2*PV_BLOG+G2*PV_PR+H2*PV_BUILDNIGHT+I2*PV_MENTOR+J2*PV_DEMO</f>
        <v>290</v>
      </c>
    </row>
    <row r="3">
      <c r="A3" s="7" t="s">
        <v>82</v>
      </c>
      <c r="B3" s="7" t="s">
        <v>83</v>
      </c>
      <c r="C3" s="19">
        <v>0.0</v>
      </c>
      <c r="D3" s="19">
        <v>0.0</v>
      </c>
      <c r="E3" s="19"/>
      <c r="F3" s="19">
        <v>0.0</v>
      </c>
      <c r="G3" s="19">
        <v>0.0</v>
      </c>
      <c r="H3" s="19">
        <v>0.0</v>
      </c>
      <c r="I3" s="19">
        <v>0.0</v>
      </c>
      <c r="J3" s="19">
        <v>0.0</v>
      </c>
      <c r="K3" s="6">
        <f>C3*PV_UPDATE+D3*PV_DEPLOY+E3*PV_HELP+F3*PV_BLOG+G3*PV_PR+H3*PV_BUILDNIGHT+I3*PV_MENTOR+J3*PV_DEMO</f>
        <v>0</v>
      </c>
    </row>
    <row r="4">
      <c r="A4" s="7" t="s">
        <v>84</v>
      </c>
      <c r="B4" s="7" t="s">
        <v>85</v>
      </c>
      <c r="C4" s="19">
        <v>0.0</v>
      </c>
      <c r="D4" s="19">
        <v>0.0</v>
      </c>
      <c r="E4" s="19"/>
      <c r="F4" s="19">
        <v>0.0</v>
      </c>
      <c r="G4" s="19">
        <v>0.0</v>
      </c>
      <c r="H4" s="19">
        <v>0.0</v>
      </c>
      <c r="I4" s="19">
        <v>0.0</v>
      </c>
      <c r="J4" s="19">
        <v>0.0</v>
      </c>
      <c r="K4" s="6">
        <f>C4*PV_UPDATE+D4*PV_DEPLOY+E4*PV_HELP+F4*PV_BLOG+G4*PV_PR+H4*PV_BUILDNIGHT+I4*PV_MENTOR+J4*PV_DEMO</f>
        <v>0</v>
      </c>
    </row>
    <row r="5">
      <c r="A5" s="7" t="s">
        <v>87</v>
      </c>
      <c r="B5" s="7" t="s">
        <v>88</v>
      </c>
      <c r="C5" s="19">
        <v>0.0</v>
      </c>
      <c r="D5" s="19">
        <v>0.0</v>
      </c>
      <c r="E5" s="19"/>
      <c r="F5" s="19">
        <v>0.0</v>
      </c>
      <c r="G5" s="19">
        <v>0.0</v>
      </c>
      <c r="H5" s="19">
        <v>0.0</v>
      </c>
      <c r="I5" s="19">
        <v>0.0</v>
      </c>
      <c r="J5" s="19">
        <v>0.0</v>
      </c>
      <c r="K5" s="6">
        <f>C5*PV_UPDATE+D5*PV_DEPLOY+E5*PV_HELP+F5*PV_BLOG+G5*PV_PR+H5*PV_BUILDNIGHT+I5*PV_MENTOR+J5*PV_DEMO</f>
        <v>0</v>
      </c>
    </row>
    <row r="6">
      <c r="A6" s="7" t="s">
        <v>89</v>
      </c>
      <c r="B6" s="7" t="s">
        <v>90</v>
      </c>
      <c r="C6" s="19">
        <v>0.0</v>
      </c>
      <c r="D6" s="19">
        <v>0.0</v>
      </c>
      <c r="E6" s="19"/>
      <c r="F6" s="19">
        <v>0.0</v>
      </c>
      <c r="G6" s="19">
        <v>0.0</v>
      </c>
      <c r="H6" s="19">
        <v>0.0</v>
      </c>
      <c r="I6" s="19">
        <v>0.0</v>
      </c>
      <c r="J6" s="19">
        <v>0.0</v>
      </c>
      <c r="K6" s="6">
        <f>C6*PV_UPDATE+D6*PV_DEPLOY+E6*PV_HELP+F6*PV_BLOG+G6*PV_PR+H6*PV_BUILDNIGHT+I6*PV_MENTOR+J6*PV_DEMO</f>
        <v>0</v>
      </c>
    </row>
    <row r="7">
      <c r="A7" s="7" t="s">
        <v>91</v>
      </c>
      <c r="B7" s="7" t="s">
        <v>92</v>
      </c>
      <c r="C7" s="19">
        <v>0.0</v>
      </c>
      <c r="D7" s="19">
        <v>0.0</v>
      </c>
      <c r="E7" s="19"/>
      <c r="F7" s="19">
        <v>0.0</v>
      </c>
      <c r="G7" s="19">
        <v>0.0</v>
      </c>
      <c r="H7" s="19">
        <v>0.0</v>
      </c>
      <c r="I7" s="19">
        <v>0.0</v>
      </c>
      <c r="J7" s="19">
        <v>0.0</v>
      </c>
      <c r="K7" s="6">
        <f>C7*PV_UPDATE+D7*PV_DEPLOY+E7*PV_HELP+F7*PV_BLOG+G7*PV_PR+H7*PV_BUILDNIGHT+I7*PV_MENTOR+J7*PV_DEMO</f>
        <v>0</v>
      </c>
    </row>
    <row r="8">
      <c r="A8" s="7" t="s">
        <v>93</v>
      </c>
      <c r="B8" s="7" t="s">
        <v>94</v>
      </c>
      <c r="C8" s="18">
        <v>1.0</v>
      </c>
      <c r="D8" s="18">
        <v>1.0</v>
      </c>
      <c r="E8" s="19"/>
      <c r="F8" s="18">
        <v>2.0</v>
      </c>
      <c r="G8" s="18">
        <v>8.0</v>
      </c>
      <c r="H8" s="19">
        <v>0.0</v>
      </c>
      <c r="I8" s="19">
        <v>0.0</v>
      </c>
      <c r="J8" s="19">
        <v>0.0</v>
      </c>
      <c r="K8" s="6">
        <f>C8*PV_UPDATE+D8*PV_DEPLOY+E8*PV_HELP+F8*PV_BLOG+G8*PV_PR+H8*PV_BUILDNIGHT+I8*PV_MENTOR+J8*PV_DEMO</f>
        <v>265</v>
      </c>
    </row>
    <row r="9">
      <c r="A9" s="7" t="s">
        <v>96</v>
      </c>
      <c r="B9" s="7" t="s">
        <v>97</v>
      </c>
      <c r="C9" s="19">
        <v>0.0</v>
      </c>
      <c r="D9" s="19">
        <v>0.0</v>
      </c>
      <c r="E9" s="19"/>
      <c r="F9" s="19">
        <v>0.0</v>
      </c>
      <c r="G9" s="19">
        <v>0.0</v>
      </c>
      <c r="H9" s="19">
        <v>0.0</v>
      </c>
      <c r="I9" s="19">
        <v>0.0</v>
      </c>
      <c r="J9" s="19">
        <v>0.0</v>
      </c>
      <c r="K9" s="6">
        <f>C9*PV_UPDATE+D9*PV_DEPLOY+E9*PV_HELP+F9*PV_BLOG+G9*PV_PR+H9*PV_BUILDNIGHT+I9*PV_MENTOR+J9*PV_DEMO</f>
        <v>0</v>
      </c>
    </row>
    <row r="10">
      <c r="A10" s="7" t="s">
        <v>98</v>
      </c>
      <c r="B10" s="7" t="s">
        <v>99</v>
      </c>
      <c r="C10" s="19">
        <v>0.0</v>
      </c>
      <c r="D10" s="19">
        <v>0.0</v>
      </c>
      <c r="E10" s="19"/>
      <c r="F10" s="19">
        <v>0.0</v>
      </c>
      <c r="G10" s="19">
        <v>0.0</v>
      </c>
      <c r="H10" s="19">
        <v>0.0</v>
      </c>
      <c r="I10" s="19">
        <v>0.0</v>
      </c>
      <c r="J10" s="19">
        <v>0.0</v>
      </c>
      <c r="K10" s="6">
        <f>C10*PV_UPDATE+D10*PV_DEPLOY+E10*PV_HELP+F10*PV_BLOG+G10*PV_PR+H10*PV_BUILDNIGHT+I10*PV_MENTOR+J10*PV_DEMO</f>
        <v>0</v>
      </c>
    </row>
    <row r="11">
      <c r="A11" s="7" t="s">
        <v>100</v>
      </c>
      <c r="B11" s="7" t="s">
        <v>101</v>
      </c>
      <c r="C11" s="19">
        <v>0.0</v>
      </c>
      <c r="D11" s="19">
        <v>0.0</v>
      </c>
      <c r="E11" s="19"/>
      <c r="F11" s="19">
        <v>0.0</v>
      </c>
      <c r="G11" s="19">
        <v>0.0</v>
      </c>
      <c r="H11" s="19">
        <v>0.0</v>
      </c>
      <c r="I11" s="19">
        <v>0.0</v>
      </c>
      <c r="J11" s="19">
        <v>0.0</v>
      </c>
      <c r="K11" s="6">
        <f>C11*PV_UPDATE+D11*PV_DEPLOY+E11*PV_HELP+F11*PV_BLOG+G11*PV_PR+H11*PV_BUILDNIGHT+I11*PV_MENTOR+J11*PV_DEMO</f>
        <v>0</v>
      </c>
    </row>
    <row r="12">
      <c r="A12" s="7" t="s">
        <v>102</v>
      </c>
      <c r="B12" s="7" t="s">
        <v>103</v>
      </c>
      <c r="C12" s="18">
        <v>1.0</v>
      </c>
      <c r="D12" s="18">
        <v>1.0</v>
      </c>
      <c r="E12" s="19"/>
      <c r="F12" s="18">
        <v>2.0</v>
      </c>
      <c r="G12" s="18">
        <v>26.0</v>
      </c>
      <c r="H12" s="19">
        <v>0.0</v>
      </c>
      <c r="I12" s="19">
        <v>0.0</v>
      </c>
      <c r="J12" s="19">
        <v>0.0</v>
      </c>
      <c r="K12" s="6">
        <f>C12*PV_UPDATE+D12*PV_DEPLOY+E12*PV_HELP+F12*PV_BLOG+G12*PV_PR+H12*PV_BUILDNIGHT+I12*PV_MENTOR+J12*PV_DEMO</f>
        <v>715</v>
      </c>
    </row>
    <row r="13">
      <c r="A13" s="7" t="s">
        <v>104</v>
      </c>
      <c r="B13" s="7" t="s">
        <v>105</v>
      </c>
      <c r="C13" s="19">
        <v>0.0</v>
      </c>
      <c r="D13" s="19">
        <v>0.0</v>
      </c>
      <c r="E13" s="19"/>
      <c r="F13" s="19">
        <v>0.0</v>
      </c>
      <c r="G13" s="19">
        <v>0.0</v>
      </c>
      <c r="H13" s="19">
        <v>0.0</v>
      </c>
      <c r="I13" s="19">
        <v>0.0</v>
      </c>
      <c r="J13" s="19">
        <v>0.0</v>
      </c>
      <c r="K13" s="6">
        <f>C13*PV_UPDATE+D13*PV_DEPLOY+E13*PV_HELP+F13*PV_BLOG+G13*PV_PR+H13*PV_BUILDNIGHT+I13*PV_MENTOR+J13*PV_DEMO</f>
        <v>0</v>
      </c>
    </row>
    <row r="14">
      <c r="A14" s="7" t="s">
        <v>106</v>
      </c>
      <c r="B14" s="7" t="s">
        <v>107</v>
      </c>
      <c r="C14" s="19">
        <v>0.0</v>
      </c>
      <c r="D14" s="19">
        <v>0.0</v>
      </c>
      <c r="E14" s="19"/>
      <c r="F14" s="19">
        <v>0.0</v>
      </c>
      <c r="G14" s="19">
        <v>0.0</v>
      </c>
      <c r="H14" s="19">
        <v>0.0</v>
      </c>
      <c r="I14" s="19">
        <v>0.0</v>
      </c>
      <c r="J14" s="19">
        <v>0.0</v>
      </c>
      <c r="K14" s="6">
        <f>C14*PV_UPDATE+D14*PV_DEPLOY+E14*PV_HELP+F14*PV_BLOG+G14*PV_PR+H14*PV_BUILDNIGHT+I14*PV_MENTOR+J14*PV_DEMO</f>
        <v>0</v>
      </c>
    </row>
    <row r="15">
      <c r="A15" s="7" t="s">
        <v>108</v>
      </c>
      <c r="B15" s="7" t="s">
        <v>109</v>
      </c>
      <c r="C15" s="19">
        <v>0.0</v>
      </c>
      <c r="D15" s="19">
        <v>0.0</v>
      </c>
      <c r="E15" s="19"/>
      <c r="F15" s="19">
        <v>0.0</v>
      </c>
      <c r="G15" s="19">
        <v>0.0</v>
      </c>
      <c r="H15" s="19">
        <v>0.0</v>
      </c>
      <c r="I15" s="19">
        <v>0.0</v>
      </c>
      <c r="J15" s="19">
        <v>0.0</v>
      </c>
      <c r="K15" s="6">
        <f>C15*PV_UPDATE+D15*PV_DEPLOY+E15*PV_HELP+F15*PV_BLOG+G15*PV_PR+H15*PV_BUILDNIGHT+I15*PV_MENTOR+J15*PV_DEMO</f>
        <v>0</v>
      </c>
    </row>
    <row r="16">
      <c r="A16" s="7" t="s">
        <v>110</v>
      </c>
      <c r="B16" s="7" t="s">
        <v>111</v>
      </c>
      <c r="C16" s="18">
        <v>1.0</v>
      </c>
      <c r="D16" s="18">
        <v>1.0</v>
      </c>
      <c r="E16" s="19"/>
      <c r="F16" s="18">
        <v>2.0</v>
      </c>
      <c r="G16" s="19">
        <v>0.0</v>
      </c>
      <c r="H16" s="19">
        <v>0.0</v>
      </c>
      <c r="I16" s="19">
        <v>0.0</v>
      </c>
      <c r="J16" s="19">
        <v>0.0</v>
      </c>
      <c r="K16" s="6">
        <f>C16*PV_UPDATE+D16*PV_DEPLOY+E16*PV_HELP+F16*PV_BLOG+G16*PV_PR+H16*PV_BUILDNIGHT+I16*PV_MENTOR+J16*PV_DEMO</f>
        <v>65</v>
      </c>
    </row>
    <row r="17">
      <c r="A17" s="7" t="s">
        <v>112</v>
      </c>
      <c r="B17" s="7" t="s">
        <v>113</v>
      </c>
      <c r="C17" s="19">
        <v>0.0</v>
      </c>
      <c r="D17" s="19">
        <v>0.0</v>
      </c>
      <c r="E17" s="19"/>
      <c r="F17" s="19">
        <v>0.0</v>
      </c>
      <c r="G17" s="19">
        <v>0.0</v>
      </c>
      <c r="H17" s="19">
        <v>0.0</v>
      </c>
      <c r="I17" s="19">
        <v>0.0</v>
      </c>
      <c r="J17" s="19">
        <v>0.0</v>
      </c>
      <c r="K17" s="6">
        <f>C17*PV_UPDATE+D17*PV_DEPLOY+E17*PV_HELP+F17*PV_BLOG+G17*PV_PR+H17*PV_BUILDNIGHT+I17*PV_MENTOR+J17*PV_DEMO</f>
        <v>0</v>
      </c>
    </row>
    <row r="18">
      <c r="A18" s="7" t="s">
        <v>114</v>
      </c>
      <c r="B18" s="7" t="s">
        <v>115</v>
      </c>
      <c r="C18" s="19">
        <v>0.0</v>
      </c>
      <c r="D18" s="19">
        <v>0.0</v>
      </c>
      <c r="E18" s="19"/>
      <c r="F18" s="19">
        <v>0.0</v>
      </c>
      <c r="G18" s="19">
        <v>0.0</v>
      </c>
      <c r="H18" s="19">
        <v>0.0</v>
      </c>
      <c r="I18" s="19">
        <v>0.0</v>
      </c>
      <c r="J18" s="19">
        <v>0.0</v>
      </c>
      <c r="K18" s="6">
        <f>C18*PV_UPDATE+D18*PV_DEPLOY+E18*PV_HELP+F18*PV_BLOG+G18*PV_PR+H18*PV_BUILDNIGHT+I18*PV_MENTOR+J18*PV_DEMO</f>
        <v>0</v>
      </c>
    </row>
    <row r="19">
      <c r="A19" s="7" t="s">
        <v>116</v>
      </c>
      <c r="B19" s="7" t="s">
        <v>117</v>
      </c>
      <c r="C19" s="19">
        <v>0.0</v>
      </c>
      <c r="D19" s="19">
        <v>0.0</v>
      </c>
      <c r="E19" s="19"/>
      <c r="F19" s="19">
        <v>0.0</v>
      </c>
      <c r="G19" s="19">
        <v>0.0</v>
      </c>
      <c r="H19" s="19">
        <v>0.0</v>
      </c>
      <c r="I19" s="19">
        <v>0.0</v>
      </c>
      <c r="J19" s="19">
        <v>0.0</v>
      </c>
      <c r="K19" s="6">
        <f>C19*PV_UPDATE+D19*PV_DEPLOY+E19*PV_HELP+F19*PV_BLOG+G19*PV_PR+H19*PV_BUILDNIGHT+I19*PV_MENTOR+J19*PV_DEMO</f>
        <v>0</v>
      </c>
    </row>
    <row r="20">
      <c r="A20" s="7" t="s">
        <v>118</v>
      </c>
      <c r="B20" s="7" t="s">
        <v>119</v>
      </c>
      <c r="C20" s="19">
        <v>0.0</v>
      </c>
      <c r="D20" s="19">
        <v>0.0</v>
      </c>
      <c r="E20" s="19"/>
      <c r="F20" s="19">
        <v>0.0</v>
      </c>
      <c r="G20" s="18">
        <v>4.0</v>
      </c>
      <c r="H20" s="19">
        <v>0.0</v>
      </c>
      <c r="I20" s="19">
        <v>0.0</v>
      </c>
      <c r="J20" s="19">
        <v>0.0</v>
      </c>
      <c r="K20" s="6">
        <f>C20*PV_UPDATE+D20*PV_DEPLOY+E20*PV_HELP+F20*PV_BLOG+G20*PV_PR+H20*PV_BUILDNIGHT+I20*PV_MENTOR+J20*PV_DEMO</f>
        <v>100</v>
      </c>
    </row>
    <row r="21" ht="15.75" customHeight="1">
      <c r="A21" s="7" t="s">
        <v>120</v>
      </c>
      <c r="B21" s="7" t="s">
        <v>121</v>
      </c>
      <c r="C21" s="19">
        <v>0.0</v>
      </c>
      <c r="D21" s="19">
        <v>0.0</v>
      </c>
      <c r="E21" s="19"/>
      <c r="F21" s="19">
        <v>0.0</v>
      </c>
      <c r="G21" s="19">
        <v>0.0</v>
      </c>
      <c r="H21" s="19">
        <v>0.0</v>
      </c>
      <c r="I21" s="19">
        <v>0.0</v>
      </c>
      <c r="J21" s="19">
        <v>0.0</v>
      </c>
      <c r="K21" s="6">
        <f>C21*PV_UPDATE+D21*PV_DEPLOY+E21*PV_HELP+F21*PV_BLOG+G21*PV_PR+H21*PV_BUILDNIGHT+I21*PV_MENTOR+J21*PV_DEMO</f>
        <v>0</v>
      </c>
    </row>
    <row r="22" ht="15.75" customHeight="1">
      <c r="A22" s="7" t="s">
        <v>122</v>
      </c>
      <c r="B22" s="7" t="s">
        <v>123</v>
      </c>
      <c r="C22" s="19">
        <v>0.0</v>
      </c>
      <c r="D22" s="19">
        <v>0.0</v>
      </c>
      <c r="E22" s="19"/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6">
        <f>C22*PV_UPDATE+D22*PV_DEPLOY+E22*PV_HELP+F22*PV_BLOG+G22*PV_PR+H22*PV_BUILDNIGHT+I22*PV_MENTOR+J22*PV_DEMO</f>
        <v>0</v>
      </c>
    </row>
    <row r="23" ht="15.75" customHeight="1">
      <c r="A23" s="7" t="s">
        <v>124</v>
      </c>
      <c r="B23" s="7" t="s">
        <v>125</v>
      </c>
      <c r="C23" s="19">
        <v>0.0</v>
      </c>
      <c r="D23" s="19">
        <v>0.0</v>
      </c>
      <c r="E23" s="19"/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6">
        <f>C23*PV_UPDATE+D23*PV_DEPLOY+E23*PV_HELP+F23*PV_BLOG+G23*PV_PR+H23*PV_BUILDNIGHT+I23*PV_MENTOR+J23*PV_DEMO</f>
        <v>0</v>
      </c>
    </row>
    <row r="24" ht="15.75" customHeight="1">
      <c r="A24" s="7" t="s">
        <v>126</v>
      </c>
      <c r="B24" s="7" t="s">
        <v>127</v>
      </c>
      <c r="C24" s="19">
        <v>0.0</v>
      </c>
      <c r="D24" s="19">
        <v>0.0</v>
      </c>
      <c r="E24" s="19"/>
      <c r="F24" s="19">
        <v>0.0</v>
      </c>
      <c r="G24" s="19">
        <v>0.0</v>
      </c>
      <c r="H24" s="19">
        <v>0.0</v>
      </c>
      <c r="I24" s="19">
        <v>0.0</v>
      </c>
      <c r="J24" s="19">
        <v>0.0</v>
      </c>
      <c r="K24" s="6">
        <f>C24*PV_UPDATE+D24*PV_DEPLOY+E24*PV_HELP+F24*PV_BLOG+G24*PV_PR+H24*PV_BUILDNIGHT+I24*PV_MENTOR+J24*PV_DEMO</f>
        <v>0</v>
      </c>
    </row>
    <row r="25" ht="15.75" customHeight="1">
      <c r="A25" s="7" t="s">
        <v>128</v>
      </c>
      <c r="B25" s="7" t="s">
        <v>129</v>
      </c>
      <c r="C25" s="19">
        <v>0.0</v>
      </c>
      <c r="D25" s="19">
        <v>0.0</v>
      </c>
      <c r="E25" s="19"/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6">
        <f>C25*PV_UPDATE+D25*PV_DEPLOY+E25*PV_HELP+F25*PV_BLOG+G25*PV_PR+H25*PV_BUILDNIGHT+I25*PV_MENTOR+J25*PV_DEMO</f>
        <v>0</v>
      </c>
    </row>
    <row r="26" ht="15.75" customHeight="1">
      <c r="A26" s="7" t="s">
        <v>130</v>
      </c>
      <c r="B26" s="7" t="s">
        <v>131</v>
      </c>
      <c r="C26" s="19">
        <v>0.0</v>
      </c>
      <c r="D26" s="19">
        <v>0.0</v>
      </c>
      <c r="E26" s="19"/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6">
        <f>C26*PV_UPDATE+D26*PV_DEPLOY+E26*PV_HELP+F26*PV_BLOG+G26*PV_PR+H26*PV_BUILDNIGHT+I26*PV_MENTOR+J26*PV_DEMO</f>
        <v>0</v>
      </c>
    </row>
    <row r="27" ht="15.75" customHeight="1">
      <c r="A27" s="7" t="s">
        <v>132</v>
      </c>
      <c r="B27" s="7" t="s">
        <v>133</v>
      </c>
      <c r="C27" s="19">
        <v>0.0</v>
      </c>
      <c r="D27" s="19">
        <v>0.0</v>
      </c>
      <c r="E27" s="19"/>
      <c r="F27" s="19">
        <v>0.0</v>
      </c>
      <c r="G27" s="19">
        <v>0.0</v>
      </c>
      <c r="H27" s="19">
        <v>0.0</v>
      </c>
      <c r="I27" s="19">
        <v>0.0</v>
      </c>
      <c r="J27" s="19">
        <v>0.0</v>
      </c>
      <c r="K27" s="6">
        <f>C27*PV_UPDATE+D27*PV_DEPLOY+E27*PV_HELP+F27*PV_BLOG+G27*PV_PR+H27*PV_BUILDNIGHT+I27*PV_MENTOR+J27*PV_DEMO</f>
        <v>0</v>
      </c>
    </row>
    <row r="28" ht="15.75" customHeight="1">
      <c r="A28" s="7" t="s">
        <v>134</v>
      </c>
      <c r="B28" s="7" t="s">
        <v>135</v>
      </c>
      <c r="C28" s="19">
        <v>0.0</v>
      </c>
      <c r="D28" s="19">
        <v>0.0</v>
      </c>
      <c r="E28" s="19"/>
      <c r="F28" s="19">
        <v>0.0</v>
      </c>
      <c r="G28" s="19">
        <v>0.0</v>
      </c>
      <c r="H28" s="19">
        <v>0.0</v>
      </c>
      <c r="I28" s="19">
        <v>0.0</v>
      </c>
      <c r="J28" s="19">
        <v>0.0</v>
      </c>
      <c r="K28" s="6">
        <f>C28*PV_UPDATE+D28*PV_DEPLOY+E28*PV_HELP+F28*PV_BLOG+G28*PV_PR+H28*PV_BUILDNIGHT+I28*PV_MENTOR+J28*PV_DEMO</f>
        <v>0</v>
      </c>
    </row>
    <row r="29" ht="15.75" customHeight="1">
      <c r="A29" s="7" t="s">
        <v>136</v>
      </c>
      <c r="B29" s="7" t="s">
        <v>137</v>
      </c>
      <c r="C29" s="19">
        <v>0.0</v>
      </c>
      <c r="D29" s="19">
        <v>0.0</v>
      </c>
      <c r="E29" s="19"/>
      <c r="F29" s="19">
        <v>0.0</v>
      </c>
      <c r="G29" s="19">
        <v>0.0</v>
      </c>
      <c r="H29" s="19">
        <v>0.0</v>
      </c>
      <c r="I29" s="19">
        <v>0.0</v>
      </c>
      <c r="J29" s="19">
        <v>0.0</v>
      </c>
      <c r="K29" s="6">
        <f>C29*PV_UPDATE+D29*PV_DEPLOY+E29*PV_HELP+F29*PV_BLOG+G29*PV_PR+H29*PV_BUILDNIGHT+I29*PV_MENTOR+J29*PV_DEMO</f>
        <v>0</v>
      </c>
    </row>
    <row r="30" ht="15.75" customHeight="1">
      <c r="A30" s="7" t="s">
        <v>138</v>
      </c>
      <c r="B30" s="7" t="s">
        <v>139</v>
      </c>
      <c r="C30" s="18">
        <v>1.0</v>
      </c>
      <c r="D30" s="18">
        <v>1.0</v>
      </c>
      <c r="E30" s="19"/>
      <c r="F30" s="18">
        <v>1.0</v>
      </c>
      <c r="G30" s="18">
        <v>23.0</v>
      </c>
      <c r="H30" s="19">
        <v>0.0</v>
      </c>
      <c r="I30" s="19">
        <v>0.0</v>
      </c>
      <c r="J30" s="19">
        <v>0.0</v>
      </c>
      <c r="K30" s="6">
        <f>C30*PV_UPDATE+D30*PV_DEPLOY+E30*PV_HELP+F30*PV_BLOG+G30*PV_PR+H30*PV_BUILDNIGHT+I30*PV_MENTOR+J30*PV_DEMO</f>
        <v>620</v>
      </c>
    </row>
    <row r="31" ht="15.75" customHeight="1">
      <c r="A31" s="7" t="s">
        <v>140</v>
      </c>
      <c r="B31" s="7" t="s">
        <v>141</v>
      </c>
      <c r="C31" s="19">
        <v>0.0</v>
      </c>
      <c r="D31" s="19">
        <v>0.0</v>
      </c>
      <c r="E31" s="19"/>
      <c r="F31" s="19">
        <v>0.0</v>
      </c>
      <c r="G31" s="19">
        <v>0.0</v>
      </c>
      <c r="H31" s="19">
        <v>0.0</v>
      </c>
      <c r="I31" s="19">
        <v>0.0</v>
      </c>
      <c r="J31" s="19">
        <v>0.0</v>
      </c>
      <c r="K31" s="6">
        <f>C31*PV_UPDATE+D31*PV_DEPLOY+E31*PV_HELP+F31*PV_BLOG+G31*PV_PR+H31*PV_BUILDNIGHT+I31*PV_MENTOR+J31*PV_DEMO</f>
        <v>0</v>
      </c>
    </row>
    <row r="32" ht="15.75" customHeight="1">
      <c r="A32" s="7" t="s">
        <v>142</v>
      </c>
      <c r="B32" s="7" t="s">
        <v>143</v>
      </c>
      <c r="C32" s="19">
        <v>0.0</v>
      </c>
      <c r="D32" s="19">
        <v>0.0</v>
      </c>
      <c r="E32" s="19"/>
      <c r="F32" s="19">
        <v>0.0</v>
      </c>
      <c r="G32" s="19">
        <v>0.0</v>
      </c>
      <c r="H32" s="19">
        <v>0.0</v>
      </c>
      <c r="I32" s="19">
        <v>0.0</v>
      </c>
      <c r="J32" s="19">
        <v>0.0</v>
      </c>
      <c r="K32" s="6">
        <f>C32*PV_UPDATE+D32*PV_DEPLOY+E32*PV_HELP+F32*PV_BLOG+G32*PV_PR+H32*PV_BUILDNIGHT+I32*PV_MENTOR+J32*PV_DEMO</f>
        <v>0</v>
      </c>
    </row>
    <row r="33" ht="15.75" customHeight="1">
      <c r="A33" s="7" t="s">
        <v>144</v>
      </c>
      <c r="B33" s="7" t="s">
        <v>145</v>
      </c>
      <c r="C33" s="19">
        <v>0.0</v>
      </c>
      <c r="D33" s="19">
        <v>0.0</v>
      </c>
      <c r="E33" s="19"/>
      <c r="F33" s="19">
        <v>0.0</v>
      </c>
      <c r="G33" s="19">
        <v>0.0</v>
      </c>
      <c r="H33" s="19">
        <v>0.0</v>
      </c>
      <c r="I33" s="19">
        <v>0.0</v>
      </c>
      <c r="J33" s="19">
        <v>0.0</v>
      </c>
      <c r="K33" s="6">
        <f>C33*PV_UPDATE+D33*PV_DEPLOY+E33*PV_HELP+F33*PV_BLOG+G33*PV_PR+H33*PV_BUILDNIGHT+I33*PV_MENTOR+J33*PV_DEMO</f>
        <v>0</v>
      </c>
    </row>
    <row r="34" ht="15.75" customHeight="1">
      <c r="A34" s="7" t="s">
        <v>146</v>
      </c>
      <c r="B34" s="7" t="s">
        <v>147</v>
      </c>
      <c r="C34" s="19">
        <v>0.0</v>
      </c>
      <c r="D34" s="19">
        <v>0.0</v>
      </c>
      <c r="E34" s="19"/>
      <c r="F34" s="19">
        <v>0.0</v>
      </c>
      <c r="G34" s="19">
        <v>0.0</v>
      </c>
      <c r="H34" s="19">
        <v>0.0</v>
      </c>
      <c r="I34" s="19">
        <v>0.0</v>
      </c>
      <c r="J34" s="19">
        <v>0.0</v>
      </c>
      <c r="K34" s="6">
        <f>C34*PV_UPDATE+D34*PV_DEPLOY+E34*PV_HELP+F34*PV_BLOG+G34*PV_PR+H34*PV_BUILDNIGHT+I34*PV_MENTOR+J34*PV_DEMO</f>
        <v>0</v>
      </c>
    </row>
    <row r="35" ht="15.75" customHeight="1">
      <c r="A35" s="7" t="s">
        <v>148</v>
      </c>
      <c r="B35" s="7" t="s">
        <v>149</v>
      </c>
      <c r="C35" s="19">
        <v>0.0</v>
      </c>
      <c r="D35" s="19">
        <v>0.0</v>
      </c>
      <c r="E35" s="19"/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6">
        <f>C35*PV_UPDATE+D35*PV_DEPLOY+E35*PV_HELP+F35*PV_BLOG+G35*PV_PR+H35*PV_BUILDNIGHT+I35*PV_MENTOR+J35*PV_DEMO</f>
        <v>0</v>
      </c>
    </row>
    <row r="36" ht="15.75" customHeight="1">
      <c r="A36" s="7" t="s">
        <v>150</v>
      </c>
      <c r="B36" s="7" t="s">
        <v>151</v>
      </c>
      <c r="C36" s="19">
        <v>0.0</v>
      </c>
      <c r="D36" s="19">
        <v>0.0</v>
      </c>
      <c r="E36" s="19"/>
      <c r="F36" s="19">
        <v>0.0</v>
      </c>
      <c r="G36" s="19">
        <v>0.0</v>
      </c>
      <c r="H36" s="19">
        <v>0.0</v>
      </c>
      <c r="I36" s="19">
        <v>0.0</v>
      </c>
      <c r="J36" s="19">
        <v>0.0</v>
      </c>
      <c r="K36" s="6">
        <f>C36*PV_UPDATE+D36*PV_DEPLOY+E36*PV_HELP+F36*PV_BLOG+G36*PV_PR+H36*PV_BUILDNIGHT+I36*PV_MENTOR+J36*PV_DEMO</f>
        <v>0</v>
      </c>
    </row>
    <row r="37" ht="15.75" customHeight="1">
      <c r="A37" s="7" t="s">
        <v>152</v>
      </c>
      <c r="B37" s="7" t="s">
        <v>153</v>
      </c>
      <c r="C37" s="19">
        <v>0.0</v>
      </c>
      <c r="D37" s="19">
        <v>0.0</v>
      </c>
      <c r="E37" s="19"/>
      <c r="F37" s="19">
        <v>0.0</v>
      </c>
      <c r="G37" s="19">
        <v>0.0</v>
      </c>
      <c r="H37" s="19">
        <v>0.0</v>
      </c>
      <c r="I37" s="19">
        <v>0.0</v>
      </c>
      <c r="J37" s="19">
        <v>0.0</v>
      </c>
      <c r="K37" s="6">
        <f>C37*PV_UPDATE+D37*PV_DEPLOY+E37*PV_HELP+F37*PV_BLOG+G37*PV_PR+H37*PV_BUILDNIGHT+I37*PV_MENTOR+J37*PV_DEMO</f>
        <v>0</v>
      </c>
    </row>
    <row r="38" ht="15.75" customHeight="1">
      <c r="A38" s="7" t="s">
        <v>154</v>
      </c>
      <c r="B38" s="7" t="s">
        <v>155</v>
      </c>
      <c r="C38" s="19">
        <v>0.0</v>
      </c>
      <c r="D38" s="19">
        <v>0.0</v>
      </c>
      <c r="E38" s="19"/>
      <c r="F38" s="19">
        <v>0.0</v>
      </c>
      <c r="G38" s="19">
        <v>0.0</v>
      </c>
      <c r="H38" s="19">
        <v>0.0</v>
      </c>
      <c r="I38" s="19">
        <v>0.0</v>
      </c>
      <c r="J38" s="19">
        <v>0.0</v>
      </c>
      <c r="K38" s="6">
        <f>C38*PV_UPDATE+D38*PV_DEPLOY+E38*PV_HELP+F38*PV_BLOG+G38*PV_PR+H38*PV_BUILDNIGHT+I38*PV_MENTOR+J38*PV_DEMO</f>
        <v>0</v>
      </c>
    </row>
    <row r="39" ht="15.75" customHeight="1">
      <c r="A39" s="7" t="s">
        <v>156</v>
      </c>
      <c r="B39" s="7" t="s">
        <v>157</v>
      </c>
      <c r="C39" s="19">
        <v>0.0</v>
      </c>
      <c r="D39" s="19">
        <v>0.0</v>
      </c>
      <c r="E39" s="19"/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6">
        <f>C39*PV_UPDATE+D39*PV_DEPLOY+E39*PV_HELP+F39*PV_BLOG+G39*PV_PR+H39*PV_BUILDNIGHT+I39*PV_MENTOR+J39*PV_DEMO</f>
        <v>0</v>
      </c>
    </row>
    <row r="40" ht="15.75" customHeight="1">
      <c r="A40" s="7" t="s">
        <v>158</v>
      </c>
      <c r="B40" s="7" t="s">
        <v>159</v>
      </c>
      <c r="C40" s="19">
        <v>0.0</v>
      </c>
      <c r="D40" s="19">
        <v>0.0</v>
      </c>
      <c r="E40" s="19"/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6">
        <f>C40*PV_UPDATE+D40*PV_DEPLOY+E40*PV_HELP+F40*PV_BLOG+G40*PV_PR+H40*PV_BUILDNIGHT+I40*PV_MENTOR+J40*PV_DEMO</f>
        <v>0</v>
      </c>
    </row>
    <row r="41" ht="15.75" customHeight="1">
      <c r="A41" s="7" t="s">
        <v>160</v>
      </c>
      <c r="B41" s="7" t="s">
        <v>161</v>
      </c>
      <c r="C41" s="19">
        <v>0.0</v>
      </c>
      <c r="D41" s="19">
        <v>0.0</v>
      </c>
      <c r="E41" s="19"/>
      <c r="F41" s="19">
        <v>0.0</v>
      </c>
      <c r="G41" s="19">
        <v>0.0</v>
      </c>
      <c r="H41" s="19">
        <v>0.0</v>
      </c>
      <c r="I41" s="19">
        <v>0.0</v>
      </c>
      <c r="J41" s="19">
        <v>0.0</v>
      </c>
      <c r="K41" s="6">
        <f>C41*PV_UPDATE+D41*PV_DEPLOY+E41*PV_HELP+F41*PV_BLOG+G41*PV_PR+H41*PV_BUILDNIGHT+I41*PV_MENTOR+J41*PV_DEMO</f>
        <v>0</v>
      </c>
    </row>
    <row r="42" ht="15.75" customHeight="1">
      <c r="A42" s="7" t="s">
        <v>162</v>
      </c>
      <c r="B42" s="7" t="s">
        <v>163</v>
      </c>
      <c r="C42" s="19">
        <v>0.0</v>
      </c>
      <c r="D42" s="19">
        <v>0.0</v>
      </c>
      <c r="E42" s="19"/>
      <c r="F42" s="19">
        <v>0.0</v>
      </c>
      <c r="G42" s="19">
        <v>0.0</v>
      </c>
      <c r="H42" s="19">
        <v>0.0</v>
      </c>
      <c r="I42" s="19">
        <v>0.0</v>
      </c>
      <c r="J42" s="19">
        <v>0.0</v>
      </c>
      <c r="K42" s="6">
        <f>C42*PV_UPDATE+D42*PV_DEPLOY+E42*PV_HELP+F42*PV_BLOG+G42*PV_PR+H42*PV_BUILDNIGHT+I42*PV_MENTOR+J42*PV_DEMO</f>
        <v>0</v>
      </c>
    </row>
    <row r="43" ht="15.75" customHeight="1">
      <c r="A43" s="7" t="s">
        <v>164</v>
      </c>
      <c r="B43" s="7" t="s">
        <v>165</v>
      </c>
      <c r="C43" s="18">
        <v>1.0</v>
      </c>
      <c r="D43" s="18">
        <v>1.0</v>
      </c>
      <c r="E43" s="19"/>
      <c r="F43" s="18">
        <v>1.0</v>
      </c>
      <c r="G43" s="19">
        <v>0.0</v>
      </c>
      <c r="H43" s="19">
        <v>0.0</v>
      </c>
      <c r="I43" s="19">
        <v>0.0</v>
      </c>
      <c r="J43" s="19">
        <v>0.0</v>
      </c>
      <c r="K43" s="6">
        <f>C43*PV_UPDATE+D43*PV_DEPLOY+E43*PV_HELP+F43*PV_BLOG+G43*PV_PR+H43*PV_BUILDNIGHT+I43*PV_MENTOR+J43*PV_DEMO</f>
        <v>45</v>
      </c>
    </row>
    <row r="44" ht="15.75" customHeight="1">
      <c r="A44" s="7" t="s">
        <v>167</v>
      </c>
      <c r="B44" s="7" t="s">
        <v>168</v>
      </c>
      <c r="C44" s="19">
        <v>0.0</v>
      </c>
      <c r="D44" s="19">
        <v>0.0</v>
      </c>
      <c r="E44" s="19"/>
      <c r="F44" s="19">
        <v>0.0</v>
      </c>
      <c r="G44" s="19">
        <v>0.0</v>
      </c>
      <c r="H44" s="19">
        <v>0.0</v>
      </c>
      <c r="I44" s="19">
        <v>0.0</v>
      </c>
      <c r="J44" s="19">
        <v>0.0</v>
      </c>
      <c r="K44" s="6">
        <f>C44*PV_UPDATE+D44*PV_DEPLOY+E44*PV_HELP+F44*PV_BLOG+G44*PV_PR+H44*PV_BUILDNIGHT+I44*PV_MENTOR+J44*PV_DEMO</f>
        <v>0</v>
      </c>
    </row>
    <row r="45" ht="15.75" customHeight="1">
      <c r="A45" s="7" t="s">
        <v>169</v>
      </c>
      <c r="B45" s="7" t="s">
        <v>170</v>
      </c>
      <c r="C45" s="19">
        <v>0.0</v>
      </c>
      <c r="D45" s="19">
        <v>0.0</v>
      </c>
      <c r="E45" s="19"/>
      <c r="F45" s="19">
        <v>0.0</v>
      </c>
      <c r="G45" s="19">
        <v>0.0</v>
      </c>
      <c r="H45" s="19">
        <v>0.0</v>
      </c>
      <c r="I45" s="19">
        <v>0.0</v>
      </c>
      <c r="J45" s="19">
        <v>0.0</v>
      </c>
      <c r="K45" s="6">
        <f>C45*PV_UPDATE+D45*PV_DEPLOY+E45*PV_HELP+F45*PV_BLOG+G45*PV_PR+H45*PV_BUILDNIGHT+I45*PV_MENTOR+J45*PV_DEMO</f>
        <v>0</v>
      </c>
    </row>
    <row r="46" ht="15.75" customHeight="1">
      <c r="A46" s="7" t="s">
        <v>171</v>
      </c>
      <c r="B46" s="7" t="s">
        <v>172</v>
      </c>
      <c r="C46" s="19">
        <v>0.0</v>
      </c>
      <c r="D46" s="19">
        <v>0.0</v>
      </c>
      <c r="E46" s="19"/>
      <c r="F46" s="19">
        <v>0.0</v>
      </c>
      <c r="G46" s="19">
        <v>0.0</v>
      </c>
      <c r="H46" s="19">
        <v>0.0</v>
      </c>
      <c r="I46" s="19">
        <v>0.0</v>
      </c>
      <c r="J46" s="19">
        <v>0.0</v>
      </c>
      <c r="K46" s="6">
        <f>C46*PV_UPDATE+D46*PV_DEPLOY+E46*PV_HELP+F46*PV_BLOG+G46*PV_PR+H46*PV_BUILDNIGHT+I46*PV_MENTOR+J46*PV_DEMO</f>
        <v>0</v>
      </c>
    </row>
    <row r="47" ht="15.75" customHeight="1">
      <c r="A47" s="7" t="s">
        <v>173</v>
      </c>
      <c r="B47" s="7" t="s">
        <v>174</v>
      </c>
      <c r="C47" s="18">
        <v>1.0</v>
      </c>
      <c r="D47" s="18">
        <v>1.0</v>
      </c>
      <c r="E47" s="19"/>
      <c r="F47" s="18">
        <v>2.0</v>
      </c>
      <c r="G47" s="18">
        <v>8.0</v>
      </c>
      <c r="H47" s="19">
        <v>0.0</v>
      </c>
      <c r="I47" s="19">
        <v>0.0</v>
      </c>
      <c r="J47" s="19">
        <v>0.0</v>
      </c>
      <c r="K47" s="6">
        <f>C47*PV_UPDATE+D47*PV_DEPLOY+E47*PV_HELP+F47*PV_BLOG+G47*PV_PR+H47*PV_BUILDNIGHT+I47*PV_MENTOR+J47*PV_DEMO</f>
        <v>265</v>
      </c>
    </row>
    <row r="48" ht="15.75" customHeight="1">
      <c r="A48" s="7" t="s">
        <v>175</v>
      </c>
      <c r="B48" s="7" t="s">
        <v>176</v>
      </c>
      <c r="C48" s="19">
        <v>0.0</v>
      </c>
      <c r="D48" s="19">
        <v>0.0</v>
      </c>
      <c r="E48" s="19"/>
      <c r="F48" s="19">
        <v>0.0</v>
      </c>
      <c r="G48" s="19">
        <v>0.0</v>
      </c>
      <c r="H48" s="19">
        <v>0.0</v>
      </c>
      <c r="I48" s="19">
        <v>0.0</v>
      </c>
      <c r="J48" s="19">
        <v>0.0</v>
      </c>
      <c r="K48" s="6">
        <f>C48*PV_UPDATE+D48*PV_DEPLOY+E48*PV_HELP+F48*PV_BLOG+G48*PV_PR+H48*PV_BUILDNIGHT+I48*PV_MENTOR+J48*PV_DEMO</f>
        <v>0</v>
      </c>
    </row>
    <row r="49" ht="15.75" customHeight="1">
      <c r="A49" s="7" t="s">
        <v>177</v>
      </c>
      <c r="B49" s="7" t="s">
        <v>178</v>
      </c>
      <c r="C49" s="19">
        <v>0.0</v>
      </c>
      <c r="D49" s="19">
        <v>0.0</v>
      </c>
      <c r="E49" s="19"/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6">
        <f>C49*PV_UPDATE+D49*PV_DEPLOY+E49*PV_HELP+F49*PV_BLOG+G49*PV_PR+H49*PV_BUILDNIGHT+I49*PV_MENTOR+J49*PV_DEMO</f>
        <v>0</v>
      </c>
    </row>
    <row r="50" ht="15.75" customHeight="1">
      <c r="A50" s="7" t="s">
        <v>179</v>
      </c>
      <c r="B50" s="7" t="s">
        <v>180</v>
      </c>
      <c r="C50" s="19">
        <v>0.0</v>
      </c>
      <c r="D50" s="19">
        <v>0.0</v>
      </c>
      <c r="E50" s="19"/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6">
        <f>C50*PV_UPDATE+D50*PV_DEPLOY+E50*PV_HELP+F50*PV_BLOG+G50*PV_PR+H50*PV_BUILDNIGHT+I50*PV_MENTOR+J50*PV_DEMO</f>
        <v>0</v>
      </c>
    </row>
    <row r="51" ht="15.75" customHeight="1">
      <c r="A51" s="7" t="s">
        <v>181</v>
      </c>
      <c r="B51" s="7" t="s">
        <v>182</v>
      </c>
      <c r="C51" s="19">
        <v>0.0</v>
      </c>
      <c r="D51" s="19">
        <v>0.0</v>
      </c>
      <c r="E51" s="19"/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6">
        <f>C51*PV_UPDATE+D51*PV_DEPLOY+E51*PV_HELP+F51*PV_BLOG+G51*PV_PR+H51*PV_BUILDNIGHT+I51*PV_MENTOR+J51*PV_DEMO</f>
        <v>0</v>
      </c>
    </row>
    <row r="52" ht="15.75" customHeight="1">
      <c r="A52" s="7" t="s">
        <v>183</v>
      </c>
      <c r="B52" s="7" t="s">
        <v>184</v>
      </c>
      <c r="C52" s="19">
        <v>0.0</v>
      </c>
      <c r="D52" s="19">
        <v>0.0</v>
      </c>
      <c r="E52" s="19"/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6">
        <f>C52*PV_UPDATE+D52*PV_DEPLOY+E52*PV_HELP+F52*PV_BLOG+G52*PV_PR+H52*PV_BUILDNIGHT+I52*PV_MENTOR+J52*PV_DEMO</f>
        <v>0</v>
      </c>
    </row>
    <row r="53" ht="15.75" customHeight="1">
      <c r="A53" s="7" t="s">
        <v>185</v>
      </c>
      <c r="B53" s="7" t="s">
        <v>186</v>
      </c>
      <c r="C53" s="18">
        <v>1.0</v>
      </c>
      <c r="D53" s="18">
        <v>1.0</v>
      </c>
      <c r="E53" s="19"/>
      <c r="F53" s="18">
        <v>2.0</v>
      </c>
      <c r="G53" s="18">
        <v>2.0</v>
      </c>
      <c r="H53" s="19">
        <v>0.0</v>
      </c>
      <c r="I53" s="19">
        <v>0.0</v>
      </c>
      <c r="J53" s="19">
        <v>0.0</v>
      </c>
      <c r="K53" s="6">
        <f>C53*PV_UPDATE+D53*PV_DEPLOY+E53*PV_HELP+F53*PV_BLOG+G53*PV_PR+H53*PV_BUILDNIGHT+I53*PV_MENTOR+J53*PV_DEMO</f>
        <v>115</v>
      </c>
    </row>
    <row r="54" ht="15.75" customHeight="1">
      <c r="A54" s="7" t="s">
        <v>187</v>
      </c>
      <c r="B54" s="7" t="s">
        <v>188</v>
      </c>
      <c r="C54" s="19">
        <v>0.0</v>
      </c>
      <c r="D54" s="19">
        <v>0.0</v>
      </c>
      <c r="E54" s="19"/>
      <c r="F54" s="19">
        <v>0.0</v>
      </c>
      <c r="G54" s="18">
        <v>9.0</v>
      </c>
      <c r="H54" s="19">
        <v>0.0</v>
      </c>
      <c r="I54" s="19">
        <v>0.0</v>
      </c>
      <c r="J54" s="19">
        <v>0.0</v>
      </c>
      <c r="K54" s="6">
        <f>C54*PV_UPDATE+D54*PV_DEPLOY+E54*PV_HELP+F54*PV_BLOG+G54*PV_PR+H54*PV_BUILDNIGHT+I54*PV_MENTOR+J54*PV_DEMO</f>
        <v>225</v>
      </c>
    </row>
    <row r="55" ht="15.75" customHeight="1">
      <c r="A55" s="7" t="s">
        <v>189</v>
      </c>
      <c r="B55" s="7" t="s">
        <v>190</v>
      </c>
      <c r="C55" s="19">
        <v>0.0</v>
      </c>
      <c r="D55" s="19">
        <v>0.0</v>
      </c>
      <c r="E55" s="19"/>
      <c r="F55" s="19">
        <v>0.0</v>
      </c>
      <c r="G55" s="19">
        <v>0.0</v>
      </c>
      <c r="H55" s="19">
        <v>0.0</v>
      </c>
      <c r="I55" s="19">
        <v>0.0</v>
      </c>
      <c r="J55" s="19">
        <v>0.0</v>
      </c>
      <c r="K55" s="6">
        <f>C55*PV_UPDATE+D55*PV_DEPLOY+E55*PV_HELP+F55*PV_BLOG+G55*PV_PR+H55*PV_BUILDNIGHT+I55*PV_MENTOR+J55*PV_DEMO</f>
        <v>0</v>
      </c>
    </row>
    <row r="56" ht="15.75" customHeight="1">
      <c r="A56" s="7" t="s">
        <v>191</v>
      </c>
      <c r="B56" s="7" t="s">
        <v>192</v>
      </c>
      <c r="C56" s="19">
        <v>0.0</v>
      </c>
      <c r="D56" s="19">
        <v>0.0</v>
      </c>
      <c r="E56" s="19"/>
      <c r="F56" s="19">
        <v>0.0</v>
      </c>
      <c r="G56" s="19">
        <v>0.0</v>
      </c>
      <c r="H56" s="19">
        <v>0.0</v>
      </c>
      <c r="I56" s="19">
        <v>0.0</v>
      </c>
      <c r="J56" s="19">
        <v>0.0</v>
      </c>
      <c r="K56" s="6">
        <f>C56*PV_UPDATE+D56*PV_DEPLOY+E56*PV_HELP+F56*PV_BLOG+G56*PV_PR+H56*PV_BUILDNIGHT+I56*PV_MENTOR+J56*PV_DEMO</f>
        <v>0</v>
      </c>
    </row>
    <row r="57" ht="15.75" customHeight="1">
      <c r="A57" s="7" t="s">
        <v>193</v>
      </c>
      <c r="B57" s="7" t="s">
        <v>194</v>
      </c>
      <c r="C57" s="19">
        <v>0.0</v>
      </c>
      <c r="D57" s="19">
        <v>0.0</v>
      </c>
      <c r="E57" s="19"/>
      <c r="F57" s="19">
        <v>0.0</v>
      </c>
      <c r="G57" s="19">
        <v>0.0</v>
      </c>
      <c r="H57" s="19">
        <v>0.0</v>
      </c>
      <c r="I57" s="19">
        <v>0.0</v>
      </c>
      <c r="J57" s="19">
        <v>0.0</v>
      </c>
      <c r="K57" s="6">
        <f>C57*PV_UPDATE+D57*PV_DEPLOY+E57*PV_HELP+F57*PV_BLOG+G57*PV_PR+H57*PV_BUILDNIGHT+I57*PV_MENTOR+J57*PV_DEMO</f>
        <v>0</v>
      </c>
    </row>
    <row r="58" ht="15.75" customHeight="1">
      <c r="A58" s="7" t="s">
        <v>195</v>
      </c>
      <c r="B58" s="7" t="s">
        <v>196</v>
      </c>
      <c r="C58" s="19">
        <v>0.0</v>
      </c>
      <c r="D58" s="19">
        <v>0.0</v>
      </c>
      <c r="E58" s="19"/>
      <c r="F58" s="19">
        <v>0.0</v>
      </c>
      <c r="G58" s="19">
        <v>0.0</v>
      </c>
      <c r="H58" s="19">
        <v>0.0</v>
      </c>
      <c r="I58" s="19">
        <v>0.0</v>
      </c>
      <c r="J58" s="19">
        <v>0.0</v>
      </c>
      <c r="K58" s="6">
        <f>C58*PV_UPDATE+D58*PV_DEPLOY+E58*PV_HELP+F58*PV_BLOG+G58*PV_PR+H58*PV_BUILDNIGHT+I58*PV_MENTOR+J58*PV_DEMO</f>
        <v>0</v>
      </c>
    </row>
    <row r="59" ht="15.75" customHeight="1">
      <c r="A59" s="7" t="s">
        <v>197</v>
      </c>
      <c r="B59" s="7" t="s">
        <v>198</v>
      </c>
      <c r="C59" s="19">
        <v>0.0</v>
      </c>
      <c r="D59" s="19">
        <v>0.0</v>
      </c>
      <c r="E59" s="19"/>
      <c r="F59" s="19">
        <v>0.0</v>
      </c>
      <c r="G59" s="19">
        <v>0.0</v>
      </c>
      <c r="H59" s="19">
        <v>0.0</v>
      </c>
      <c r="I59" s="19">
        <v>0.0</v>
      </c>
      <c r="J59" s="19">
        <v>0.0</v>
      </c>
      <c r="K59" s="6">
        <f>C59*PV_UPDATE+D59*PV_DEPLOY+E59*PV_HELP+F59*PV_BLOG+G59*PV_PR+H59*PV_BUILDNIGHT+I59*PV_MENTOR+J59*PV_DEMO</f>
        <v>0</v>
      </c>
    </row>
    <row r="60" ht="15.75" customHeight="1">
      <c r="A60" s="7" t="s">
        <v>199</v>
      </c>
      <c r="B60" s="7" t="s">
        <v>200</v>
      </c>
      <c r="C60" s="19">
        <v>0.0</v>
      </c>
      <c r="D60" s="19">
        <v>0.0</v>
      </c>
      <c r="E60" s="19"/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6">
        <f>C60*PV_UPDATE+D60*PV_DEPLOY+E60*PV_HELP+F60*PV_BLOG+G60*PV_PR+H60*PV_BUILDNIGHT+I60*PV_MENTOR+J60*PV_DEMO</f>
        <v>0</v>
      </c>
    </row>
    <row r="61" ht="15.75" customHeight="1">
      <c r="A61" s="7" t="s">
        <v>201</v>
      </c>
      <c r="B61" s="7" t="s">
        <v>202</v>
      </c>
      <c r="C61" s="19">
        <v>0.0</v>
      </c>
      <c r="D61" s="19">
        <v>0.0</v>
      </c>
      <c r="E61" s="19"/>
      <c r="F61" s="19">
        <v>0.0</v>
      </c>
      <c r="G61" s="19">
        <v>0.0</v>
      </c>
      <c r="H61" s="19">
        <v>0.0</v>
      </c>
      <c r="I61" s="19">
        <v>0.0</v>
      </c>
      <c r="J61" s="19">
        <v>0.0</v>
      </c>
      <c r="K61" s="6">
        <f>C61*PV_UPDATE+D61*PV_DEPLOY+E61*PV_HELP+F61*PV_BLOG+G61*PV_PR+H61*PV_BUILDNIGHT+I61*PV_MENTOR+J61*PV_DEMO</f>
        <v>0</v>
      </c>
    </row>
    <row r="62" ht="15.75" customHeight="1">
      <c r="A62" s="7" t="s">
        <v>203</v>
      </c>
      <c r="B62" s="7" t="s">
        <v>204</v>
      </c>
      <c r="C62" s="19">
        <v>0.0</v>
      </c>
      <c r="D62" s="19">
        <v>0.0</v>
      </c>
      <c r="E62" s="19"/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6">
        <f>C62*PV_UPDATE+D62*PV_DEPLOY+E62*PV_HELP+F62*PV_BLOG+G62*PV_PR+H62*PV_BUILDNIGHT+I62*PV_MENTOR+J62*PV_DEMO</f>
        <v>0</v>
      </c>
    </row>
    <row r="63" ht="15.75" customHeight="1">
      <c r="A63" s="7" t="s">
        <v>205</v>
      </c>
      <c r="B63" s="7" t="s">
        <v>206</v>
      </c>
      <c r="C63" s="19">
        <v>0.0</v>
      </c>
      <c r="D63" s="19">
        <v>0.0</v>
      </c>
      <c r="E63" s="19"/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6">
        <f>C63*PV_UPDATE+D63*PV_DEPLOY+E63*PV_HELP+F63*PV_BLOG+G63*PV_PR+H63*PV_BUILDNIGHT+I63*PV_MENTOR+J63*PV_DEMO</f>
        <v>0</v>
      </c>
    </row>
    <row r="64" ht="15.75" customHeight="1">
      <c r="A64" s="7" t="s">
        <v>207</v>
      </c>
      <c r="B64" s="7" t="s">
        <v>208</v>
      </c>
      <c r="C64" s="19">
        <v>0.0</v>
      </c>
      <c r="D64" s="19">
        <v>0.0</v>
      </c>
      <c r="E64" s="19"/>
      <c r="F64" s="18">
        <v>1.0</v>
      </c>
      <c r="G64" s="19">
        <v>0.0</v>
      </c>
      <c r="H64" s="19">
        <v>0.0</v>
      </c>
      <c r="I64" s="19">
        <v>0.0</v>
      </c>
      <c r="J64" s="19">
        <v>0.0</v>
      </c>
      <c r="K64" s="6">
        <f>C64*PV_UPDATE+D64*PV_DEPLOY+E64*PV_HELP+F64*PV_BLOG+G64*PV_PR+H64*PV_BUILDNIGHT+I64*PV_MENTOR+J64*PV_DEMO</f>
        <v>20</v>
      </c>
    </row>
    <row r="65" ht="15.75" customHeight="1">
      <c r="A65" s="7" t="s">
        <v>209</v>
      </c>
      <c r="B65" s="7" t="s">
        <v>210</v>
      </c>
      <c r="C65" s="19">
        <v>0.0</v>
      </c>
      <c r="D65" s="19">
        <v>0.0</v>
      </c>
      <c r="E65" s="19"/>
      <c r="F65" s="19">
        <v>0.0</v>
      </c>
      <c r="G65" s="19">
        <v>0.0</v>
      </c>
      <c r="H65" s="19">
        <v>0.0</v>
      </c>
      <c r="I65" s="19">
        <v>0.0</v>
      </c>
      <c r="J65" s="19">
        <v>0.0</v>
      </c>
      <c r="K65" s="6">
        <f>C65*PV_UPDATE+D65*PV_DEPLOY+E65*PV_HELP+F65*PV_BLOG+G65*PV_PR+H65*PV_BUILDNIGHT+I65*PV_MENTOR+J65*PV_DEMO</f>
        <v>0</v>
      </c>
    </row>
    <row r="66" ht="15.75" customHeight="1">
      <c r="A66" s="7" t="s">
        <v>211</v>
      </c>
      <c r="B66" s="7" t="s">
        <v>212</v>
      </c>
      <c r="C66" s="19">
        <v>0.0</v>
      </c>
      <c r="D66" s="19">
        <v>0.0</v>
      </c>
      <c r="E66" s="19"/>
      <c r="F66" s="19">
        <v>0.0</v>
      </c>
      <c r="G66" s="19">
        <v>0.0</v>
      </c>
      <c r="H66" s="19">
        <v>0.0</v>
      </c>
      <c r="I66" s="19">
        <v>0.0</v>
      </c>
      <c r="J66" s="19">
        <v>0.0</v>
      </c>
      <c r="K66" s="6">
        <f>C66*PV_UPDATE+D66*PV_DEPLOY+E66*PV_HELP+F66*PV_BLOG+G66*PV_PR+H66*PV_BUILDNIGHT+I66*PV_MENTOR+J66*PV_DEMO</f>
        <v>0</v>
      </c>
    </row>
    <row r="67" ht="15.75" customHeight="1">
      <c r="A67" s="7" t="s">
        <v>213</v>
      </c>
      <c r="B67" s="7" t="s">
        <v>214</v>
      </c>
      <c r="C67" s="19">
        <v>0.0</v>
      </c>
      <c r="D67" s="19">
        <v>0.0</v>
      </c>
      <c r="E67" s="19"/>
      <c r="F67" s="19">
        <v>0.0</v>
      </c>
      <c r="G67" s="19">
        <v>0.0</v>
      </c>
      <c r="H67" s="19">
        <v>0.0</v>
      </c>
      <c r="I67" s="19">
        <v>0.0</v>
      </c>
      <c r="J67" s="19">
        <v>0.0</v>
      </c>
      <c r="K67" s="6">
        <f>C67*PV_UPDATE+D67*PV_DEPLOY+E67*PV_HELP+F67*PV_BLOG+G67*PV_PR+H67*PV_BUILDNIGHT+I67*PV_MENTOR+J67*PV_DEMO</f>
        <v>0</v>
      </c>
    </row>
    <row r="68" ht="15.75" customHeight="1">
      <c r="A68" s="7" t="s">
        <v>215</v>
      </c>
      <c r="B68" s="7" t="s">
        <v>216</v>
      </c>
      <c r="C68" s="19">
        <v>0.0</v>
      </c>
      <c r="D68" s="19">
        <v>0.0</v>
      </c>
      <c r="E68" s="19"/>
      <c r="F68" s="19">
        <v>0.0</v>
      </c>
      <c r="G68" s="19">
        <v>0.0</v>
      </c>
      <c r="H68" s="19">
        <v>0.0</v>
      </c>
      <c r="I68" s="19">
        <v>0.0</v>
      </c>
      <c r="J68" s="19">
        <v>0.0</v>
      </c>
      <c r="K68" s="6">
        <f>C68*PV_UPDATE+D68*PV_DEPLOY+E68*PV_HELP+F68*PV_BLOG+G68*PV_PR+H68*PV_BUILDNIGHT+I68*PV_MENTOR+J68*PV_DEMO</f>
        <v>0</v>
      </c>
    </row>
    <row r="69" ht="15.75" customHeight="1">
      <c r="A69" s="7" t="s">
        <v>217</v>
      </c>
      <c r="B69" s="7" t="s">
        <v>218</v>
      </c>
      <c r="C69" s="19">
        <v>0.0</v>
      </c>
      <c r="D69" s="19">
        <v>0.0</v>
      </c>
      <c r="E69" s="19"/>
      <c r="F69" s="19">
        <v>0.0</v>
      </c>
      <c r="G69" s="19">
        <v>0.0</v>
      </c>
      <c r="H69" s="19">
        <v>0.0</v>
      </c>
      <c r="I69" s="19">
        <v>0.0</v>
      </c>
      <c r="J69" s="19">
        <v>0.0</v>
      </c>
      <c r="K69" s="6">
        <f>C69*PV_UPDATE+D69*PV_DEPLOY+E69*PV_HELP+F69*PV_BLOG+G69*PV_PR+H69*PV_BUILDNIGHT+I69*PV_MENTOR+J69*PV_DEMO</f>
        <v>0</v>
      </c>
    </row>
    <row r="70" ht="15.75" customHeight="1">
      <c r="A70" s="7" t="s">
        <v>219</v>
      </c>
      <c r="B70" s="7" t="s">
        <v>220</v>
      </c>
      <c r="C70" s="19">
        <v>0.0</v>
      </c>
      <c r="D70" s="19">
        <v>0.0</v>
      </c>
      <c r="E70" s="19"/>
      <c r="F70" s="19">
        <v>0.0</v>
      </c>
      <c r="G70" s="19">
        <v>0.0</v>
      </c>
      <c r="H70" s="19">
        <v>0.0</v>
      </c>
      <c r="I70" s="19">
        <v>0.0</v>
      </c>
      <c r="J70" s="19">
        <v>0.0</v>
      </c>
      <c r="K70" s="6">
        <f>C70*PV_UPDATE+D70*PV_DEPLOY+E70*PV_HELP+F70*PV_BLOG+G70*PV_PR+H70*PV_BUILDNIGHT+I70*PV_MENTOR+J70*PV_DEMO</f>
        <v>0</v>
      </c>
    </row>
    <row r="71" ht="15.75" customHeight="1">
      <c r="A71" s="7" t="s">
        <v>221</v>
      </c>
      <c r="B71" s="7" t="s">
        <v>222</v>
      </c>
      <c r="C71" s="19">
        <v>0.0</v>
      </c>
      <c r="D71" s="19">
        <v>0.0</v>
      </c>
      <c r="E71" s="19"/>
      <c r="F71" s="19">
        <v>0.0</v>
      </c>
      <c r="G71" s="19">
        <v>0.0</v>
      </c>
      <c r="H71" s="19">
        <v>0.0</v>
      </c>
      <c r="I71" s="19">
        <v>0.0</v>
      </c>
      <c r="J71" s="19">
        <v>0.0</v>
      </c>
      <c r="K71" s="6">
        <f>C71*PV_UPDATE+D71*PV_DEPLOY+E71*PV_HELP+F71*PV_BLOG+G71*PV_PR+H71*PV_BUILDNIGHT+I71*PV_MENTOR+J71*PV_DEMO</f>
        <v>0</v>
      </c>
    </row>
    <row r="72" ht="15.75" customHeight="1">
      <c r="A72" s="7" t="s">
        <v>223</v>
      </c>
      <c r="B72" s="7" t="s">
        <v>224</v>
      </c>
      <c r="C72" s="19">
        <v>0.0</v>
      </c>
      <c r="D72" s="19">
        <v>0.0</v>
      </c>
      <c r="E72" s="19"/>
      <c r="F72" s="19">
        <v>0.0</v>
      </c>
      <c r="G72" s="19">
        <v>0.0</v>
      </c>
      <c r="H72" s="19">
        <v>0.0</v>
      </c>
      <c r="I72" s="19">
        <v>0.0</v>
      </c>
      <c r="J72" s="19">
        <v>0.0</v>
      </c>
      <c r="K72" s="6">
        <f>C72*PV_UPDATE+D72*PV_DEPLOY+E72*PV_HELP+F72*PV_BLOG+G72*PV_PR+H72*PV_BUILDNIGHT+I72*PV_MENTOR+J72*PV_DEMO</f>
        <v>0</v>
      </c>
    </row>
    <row r="73" ht="15.75" customHeight="1">
      <c r="A73" s="7" t="s">
        <v>225</v>
      </c>
      <c r="B73" s="7" t="s">
        <v>226</v>
      </c>
      <c r="C73" s="19">
        <v>0.0</v>
      </c>
      <c r="D73" s="19">
        <v>0.0</v>
      </c>
      <c r="E73" s="19"/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6">
        <f>C73*PV_UPDATE+D73*PV_DEPLOY+E73*PV_HELP+F73*PV_BLOG+G73*PV_PR+H73*PV_BUILDNIGHT+I73*PV_MENTOR+J73*PV_DEMO</f>
        <v>0</v>
      </c>
    </row>
    <row r="74" ht="15.75" customHeight="1">
      <c r="A74" s="7" t="s">
        <v>227</v>
      </c>
      <c r="B74" s="7" t="s">
        <v>228</v>
      </c>
      <c r="C74" s="19">
        <v>0.0</v>
      </c>
      <c r="D74" s="19">
        <v>0.0</v>
      </c>
      <c r="E74" s="19"/>
      <c r="F74" s="19">
        <v>0.0</v>
      </c>
      <c r="G74" s="19">
        <v>0.0</v>
      </c>
      <c r="H74" s="19">
        <v>0.0</v>
      </c>
      <c r="I74" s="19">
        <v>0.0</v>
      </c>
      <c r="J74" s="19">
        <v>0.0</v>
      </c>
      <c r="K74" s="6">
        <f>C74*PV_UPDATE+D74*PV_DEPLOY+E74*PV_HELP+F74*PV_BLOG+G74*PV_PR+H74*PV_BUILDNIGHT+I74*PV_MENTOR+J74*PV_DEMO</f>
        <v>0</v>
      </c>
    </row>
    <row r="75" ht="15.75" customHeight="1">
      <c r="A75" s="7" t="s">
        <v>229</v>
      </c>
      <c r="B75" s="7" t="s">
        <v>230</v>
      </c>
      <c r="C75" s="19">
        <v>0.0</v>
      </c>
      <c r="D75" s="19">
        <v>0.0</v>
      </c>
      <c r="E75" s="19"/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6">
        <f>C75*PV_UPDATE+D75*PV_DEPLOY+E75*PV_HELP+F75*PV_BLOG+G75*PV_PR+H75*PV_BUILDNIGHT+I75*PV_MENTOR+J75*PV_DEMO</f>
        <v>0</v>
      </c>
    </row>
    <row r="76" ht="15.75" customHeight="1">
      <c r="A76" s="7" t="s">
        <v>231</v>
      </c>
      <c r="B76" s="7" t="s">
        <v>232</v>
      </c>
      <c r="C76" s="19">
        <v>0.0</v>
      </c>
      <c r="D76" s="19">
        <v>0.0</v>
      </c>
      <c r="E76" s="19"/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6">
        <f>C76*PV_UPDATE+D76*PV_DEPLOY+E76*PV_HELP+F76*PV_BLOG+G76*PV_PR+H76*PV_BUILDNIGHT+I76*PV_MENTOR+J76*PV_DEMO</f>
        <v>0</v>
      </c>
    </row>
    <row r="77" ht="15.75" customHeight="1">
      <c r="A77" s="7" t="s">
        <v>233</v>
      </c>
      <c r="B77" s="7" t="s">
        <v>234</v>
      </c>
      <c r="C77" s="19">
        <v>0.0</v>
      </c>
      <c r="D77" s="19">
        <v>0.0</v>
      </c>
      <c r="E77" s="19"/>
      <c r="F77" s="19">
        <v>0.0</v>
      </c>
      <c r="G77" s="19">
        <v>0.0</v>
      </c>
      <c r="H77" s="19">
        <v>0.0</v>
      </c>
      <c r="I77" s="19">
        <v>0.0</v>
      </c>
      <c r="J77" s="19">
        <v>0.0</v>
      </c>
      <c r="K77" s="6">
        <f>C77*PV_UPDATE+D77*PV_DEPLOY+E77*PV_HELP+F77*PV_BLOG+G77*PV_PR+H77*PV_BUILDNIGHT+I77*PV_MENTOR+J77*PV_DEMO</f>
        <v>0</v>
      </c>
    </row>
    <row r="78" ht="15.75" customHeight="1">
      <c r="A78" s="7" t="s">
        <v>235</v>
      </c>
      <c r="B78" s="7" t="s">
        <v>236</v>
      </c>
      <c r="C78" s="18">
        <v>1.0</v>
      </c>
      <c r="D78" s="18">
        <v>1.0</v>
      </c>
      <c r="E78" s="19"/>
      <c r="F78" s="18">
        <v>2.0</v>
      </c>
      <c r="G78" s="18">
        <v>9.0</v>
      </c>
      <c r="H78" s="19">
        <v>0.0</v>
      </c>
      <c r="I78" s="19">
        <v>0.0</v>
      </c>
      <c r="J78" s="19">
        <v>0.0</v>
      </c>
      <c r="K78" s="6">
        <f>C78*PV_UPDATE+D78*PV_DEPLOY+E78*PV_HELP+F78*PV_BLOG+G78*PV_PR+H78*PV_BUILDNIGHT+I78*PV_MENTOR+J78*PV_DEMO</f>
        <v>290</v>
      </c>
    </row>
    <row r="79" ht="15.75" customHeight="1">
      <c r="A79" s="7" t="s">
        <v>237</v>
      </c>
      <c r="B79" s="7" t="s">
        <v>238</v>
      </c>
      <c r="C79" s="18">
        <v>1.0</v>
      </c>
      <c r="D79" s="18">
        <v>1.0</v>
      </c>
      <c r="E79" s="19"/>
      <c r="F79" s="18">
        <v>1.0</v>
      </c>
      <c r="G79" s="18">
        <v>5.0</v>
      </c>
      <c r="H79" s="19">
        <v>0.0</v>
      </c>
      <c r="I79" s="19">
        <v>0.0</v>
      </c>
      <c r="J79" s="19">
        <v>0.0</v>
      </c>
      <c r="K79" s="6">
        <f>C79*PV_UPDATE+D79*PV_DEPLOY+E79*PV_HELP+F79*PV_BLOG+G79*PV_PR+H79*PV_BUILDNIGHT+I79*PV_MENTOR+J79*PV_DEMO</f>
        <v>170</v>
      </c>
    </row>
    <row r="80" ht="15.75" customHeight="1">
      <c r="A80" s="7" t="s">
        <v>239</v>
      </c>
      <c r="B80" s="7" t="s">
        <v>240</v>
      </c>
      <c r="C80" s="19">
        <v>0.0</v>
      </c>
      <c r="D80" s="19">
        <v>0.0</v>
      </c>
      <c r="E80" s="19"/>
      <c r="F80" s="19">
        <v>0.0</v>
      </c>
      <c r="G80" s="19">
        <v>0.0</v>
      </c>
      <c r="H80" s="19">
        <v>0.0</v>
      </c>
      <c r="I80" s="19">
        <v>0.0</v>
      </c>
      <c r="J80" s="19">
        <v>0.0</v>
      </c>
      <c r="K80" s="6">
        <f>C80*PV_UPDATE+D80*PV_DEPLOY+E80*PV_HELP+F80*PV_BLOG+G80*PV_PR+H80*PV_BUILDNIGHT+I80*PV_MENTOR+J80*PV_DEMO</f>
        <v>0</v>
      </c>
    </row>
    <row r="81" ht="15.75" customHeight="1">
      <c r="A81" s="7" t="s">
        <v>241</v>
      </c>
      <c r="B81" s="7" t="s">
        <v>242</v>
      </c>
      <c r="C81" s="18">
        <v>1.0</v>
      </c>
      <c r="D81" s="18">
        <v>1.0</v>
      </c>
      <c r="E81" s="19"/>
      <c r="F81" s="18">
        <v>1.0</v>
      </c>
      <c r="G81" s="19">
        <v>0.0</v>
      </c>
      <c r="H81" s="19">
        <v>0.0</v>
      </c>
      <c r="I81" s="19">
        <v>0.0</v>
      </c>
      <c r="J81" s="19">
        <v>0.0</v>
      </c>
      <c r="K81" s="6">
        <f>C81*PV_UPDATE+D81*PV_DEPLOY+E81*PV_HELP+F81*PV_BLOG+G81*PV_PR+H81*PV_BUILDNIGHT+I81*PV_MENTOR+J81*PV_DEMO</f>
        <v>45</v>
      </c>
    </row>
    <row r="82" ht="15.75" customHeight="1">
      <c r="A82" s="7" t="s">
        <v>243</v>
      </c>
      <c r="B82" s="7" t="s">
        <v>244</v>
      </c>
      <c r="C82" s="19">
        <v>0.0</v>
      </c>
      <c r="D82" s="19">
        <v>0.0</v>
      </c>
      <c r="E82" s="19"/>
      <c r="F82" s="19">
        <v>0.0</v>
      </c>
      <c r="G82" s="19">
        <v>0.0</v>
      </c>
      <c r="H82" s="19">
        <v>0.0</v>
      </c>
      <c r="I82" s="19">
        <v>0.0</v>
      </c>
      <c r="J82" s="19">
        <v>0.0</v>
      </c>
      <c r="K82" s="6">
        <f>C82*PV_UPDATE+D82*PV_DEPLOY+E82*PV_HELP+F82*PV_BLOG+G82*PV_PR+H82*PV_BUILDNIGHT+I82*PV_MENTOR+J82*PV_DEMO</f>
        <v>0</v>
      </c>
    </row>
    <row r="83" ht="15.75" customHeight="1">
      <c r="A83" s="7" t="s">
        <v>245</v>
      </c>
      <c r="B83" s="7" t="s">
        <v>246</v>
      </c>
      <c r="C83" s="18">
        <v>1.0</v>
      </c>
      <c r="D83" s="18">
        <v>1.0</v>
      </c>
      <c r="E83" s="19"/>
      <c r="F83" s="19">
        <v>0.0</v>
      </c>
      <c r="G83" s="19">
        <v>0.0</v>
      </c>
      <c r="H83" s="19">
        <v>0.0</v>
      </c>
      <c r="I83" s="19">
        <v>0.0</v>
      </c>
      <c r="J83" s="19">
        <v>0.0</v>
      </c>
      <c r="K83" s="6">
        <f>C83*PV_UPDATE+D83*PV_DEPLOY+E83*PV_HELP+F83*PV_BLOG+G83*PV_PR+H83*PV_BUILDNIGHT+I83*PV_MENTOR+J83*PV_DEMO</f>
        <v>25</v>
      </c>
    </row>
    <row r="84" ht="15.75" customHeight="1">
      <c r="A84" s="7" t="s">
        <v>247</v>
      </c>
      <c r="B84" s="7" t="s">
        <v>248</v>
      </c>
      <c r="C84" s="19">
        <v>0.0</v>
      </c>
      <c r="D84" s="19">
        <v>0.0</v>
      </c>
      <c r="E84" s="19"/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6">
        <f>C84*PV_UPDATE+D84*PV_DEPLOY+E84*PV_HELP+F84*PV_BLOG+G84*PV_PR+H84*PV_BUILDNIGHT+I84*PV_MENTOR+J84*PV_DEMO</f>
        <v>0</v>
      </c>
    </row>
    <row r="85" ht="15.75" customHeight="1">
      <c r="A85" s="7" t="s">
        <v>249</v>
      </c>
      <c r="B85" s="7" t="s">
        <v>250</v>
      </c>
      <c r="C85" s="18">
        <v>1.0</v>
      </c>
      <c r="D85" s="18">
        <v>1.0</v>
      </c>
      <c r="E85" s="19"/>
      <c r="F85" s="18">
        <v>1.0</v>
      </c>
      <c r="G85" s="19">
        <v>0.0</v>
      </c>
      <c r="H85" s="19">
        <v>0.0</v>
      </c>
      <c r="I85" s="19">
        <v>0.0</v>
      </c>
      <c r="J85" s="19">
        <v>0.0</v>
      </c>
      <c r="K85" s="6">
        <f>C85*PV_UPDATE+D85*PV_DEPLOY+E85*PV_HELP+F85*PV_BLOG+G85*PV_PR+H85*PV_BUILDNIGHT+I85*PV_MENTOR+J85*PV_DEMO</f>
        <v>45</v>
      </c>
    </row>
    <row r="86" ht="15.75" customHeight="1">
      <c r="A86" s="7" t="s">
        <v>251</v>
      </c>
      <c r="B86" s="7" t="s">
        <v>252</v>
      </c>
      <c r="C86" s="19">
        <v>0.0</v>
      </c>
      <c r="D86" s="19">
        <v>0.0</v>
      </c>
      <c r="E86" s="19"/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6">
        <f>C86*PV_UPDATE+D86*PV_DEPLOY+E86*PV_HELP+F86*PV_BLOG+G86*PV_PR+H86*PV_BUILDNIGHT+I86*PV_MENTOR+J86*PV_DEMO</f>
        <v>0</v>
      </c>
    </row>
    <row r="87" ht="15.75" customHeight="1">
      <c r="A87" s="7" t="s">
        <v>253</v>
      </c>
      <c r="B87" s="7" t="s">
        <v>254</v>
      </c>
      <c r="C87" s="19">
        <v>0.0</v>
      </c>
      <c r="D87" s="19">
        <v>0.0</v>
      </c>
      <c r="E87" s="19"/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6">
        <f>C87*PV_UPDATE+D87*PV_DEPLOY+E87*PV_HELP+F87*PV_BLOG+G87*PV_PR+H87*PV_BUILDNIGHT+I87*PV_MENTOR+J87*PV_DEMO</f>
        <v>0</v>
      </c>
    </row>
    <row r="88" ht="15.75" customHeight="1">
      <c r="A88" s="7" t="s">
        <v>256</v>
      </c>
      <c r="B88" s="7" t="s">
        <v>257</v>
      </c>
      <c r="C88" s="19">
        <v>0.0</v>
      </c>
      <c r="D88" s="19">
        <v>0.0</v>
      </c>
      <c r="E88" s="19"/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6">
        <f>C88*PV_UPDATE+D88*PV_DEPLOY+E88*PV_HELP+F88*PV_BLOG+G88*PV_PR+H88*PV_BUILDNIGHT+I88*PV_MENTOR+J88*PV_DEMO</f>
        <v>0</v>
      </c>
    </row>
    <row r="89" ht="15.75" customHeight="1">
      <c r="A89" s="7" t="s">
        <v>258</v>
      </c>
      <c r="B89" s="7" t="s">
        <v>259</v>
      </c>
      <c r="C89" s="19">
        <v>0.0</v>
      </c>
      <c r="D89" s="19">
        <v>0.0</v>
      </c>
      <c r="E89" s="19"/>
      <c r="F89" s="19">
        <v>0.0</v>
      </c>
      <c r="G89" s="19">
        <v>0.0</v>
      </c>
      <c r="H89" s="19">
        <v>0.0</v>
      </c>
      <c r="I89" s="19">
        <v>0.0</v>
      </c>
      <c r="J89" s="19">
        <v>0.0</v>
      </c>
      <c r="K89" s="6">
        <f>C89*PV_UPDATE+D89*PV_DEPLOY+E89*PV_HELP+F89*PV_BLOG+G89*PV_PR+H89*PV_BUILDNIGHT+I89*PV_MENTOR+J89*PV_DEMO</f>
        <v>0</v>
      </c>
    </row>
    <row r="90" ht="15.75" customHeight="1">
      <c r="A90" s="7" t="s">
        <v>260</v>
      </c>
      <c r="B90" s="7" t="s">
        <v>261</v>
      </c>
      <c r="C90" s="19">
        <v>0.0</v>
      </c>
      <c r="D90" s="19">
        <v>0.0</v>
      </c>
      <c r="E90" s="19"/>
      <c r="F90" s="19">
        <v>0.0</v>
      </c>
      <c r="G90" s="19">
        <v>0.0</v>
      </c>
      <c r="H90" s="19">
        <v>0.0</v>
      </c>
      <c r="I90" s="19">
        <v>0.0</v>
      </c>
      <c r="J90" s="19">
        <v>0.0</v>
      </c>
      <c r="K90" s="6">
        <f>C90*PV_UPDATE+D90*PV_DEPLOY+E90*PV_HELP+F90*PV_BLOG+G90*PV_PR+H90*PV_BUILDNIGHT+I90*PV_MENTOR+J90*PV_DEMO</f>
        <v>0</v>
      </c>
    </row>
    <row r="91" ht="15.75" customHeight="1">
      <c r="A91" s="7" t="s">
        <v>262</v>
      </c>
      <c r="B91" s="7" t="s">
        <v>263</v>
      </c>
      <c r="C91" s="19">
        <v>0.0</v>
      </c>
      <c r="D91" s="19">
        <v>0.0</v>
      </c>
      <c r="E91" s="19"/>
      <c r="F91" s="19">
        <v>0.0</v>
      </c>
      <c r="G91" s="19">
        <v>0.0</v>
      </c>
      <c r="H91" s="19">
        <v>0.0</v>
      </c>
      <c r="I91" s="19">
        <v>0.0</v>
      </c>
      <c r="J91" s="19">
        <v>0.0</v>
      </c>
      <c r="K91" s="6">
        <f>C91*PV_UPDATE+D91*PV_DEPLOY+E91*PV_HELP+F91*PV_BLOG+G91*PV_PR+H91*PV_BUILDNIGHT+I91*PV_MENTOR+J91*PV_DEMO</f>
        <v>0</v>
      </c>
    </row>
    <row r="92" ht="15.75" customHeight="1">
      <c r="A92" s="7" t="s">
        <v>264</v>
      </c>
      <c r="B92" s="7" t="s">
        <v>265</v>
      </c>
      <c r="C92" s="19">
        <v>0.0</v>
      </c>
      <c r="D92" s="19">
        <v>0.0</v>
      </c>
      <c r="E92" s="19"/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6">
        <f>C92*PV_UPDATE+D92*PV_DEPLOY+E92*PV_HELP+F92*PV_BLOG+G92*PV_PR+H92*PV_BUILDNIGHT+I92*PV_MENTOR+J92*PV_DEMO</f>
        <v>0</v>
      </c>
    </row>
    <row r="93" ht="15.75" customHeight="1">
      <c r="A93" s="7" t="s">
        <v>266</v>
      </c>
      <c r="B93" s="7" t="s">
        <v>267</v>
      </c>
      <c r="C93" s="18">
        <v>1.0</v>
      </c>
      <c r="D93" s="18">
        <v>1.0</v>
      </c>
      <c r="E93" s="19"/>
      <c r="F93" s="18">
        <v>1.0</v>
      </c>
      <c r="G93" s="18">
        <v>26.0</v>
      </c>
      <c r="H93" s="19">
        <v>0.0</v>
      </c>
      <c r="I93" s="19">
        <v>0.0</v>
      </c>
      <c r="J93" s="19">
        <v>0.0</v>
      </c>
      <c r="K93" s="6">
        <f>C93*PV_UPDATE+D93*PV_DEPLOY+E93*PV_HELP+F93*PV_BLOG+G93*PV_PR+H93*PV_BUILDNIGHT+I93*PV_MENTOR+J93*PV_DEMO</f>
        <v>695</v>
      </c>
    </row>
    <row r="94" ht="15.75" customHeight="1">
      <c r="A94" s="7" t="s">
        <v>268</v>
      </c>
      <c r="B94" s="7" t="s">
        <v>269</v>
      </c>
      <c r="C94" s="18">
        <v>0.0</v>
      </c>
      <c r="D94" s="19">
        <v>0.0</v>
      </c>
      <c r="E94" s="19"/>
      <c r="F94" s="19">
        <v>0.0</v>
      </c>
      <c r="G94" s="19">
        <v>0.0</v>
      </c>
      <c r="H94" s="19">
        <v>0.0</v>
      </c>
      <c r="I94" s="19">
        <v>0.0</v>
      </c>
      <c r="J94" s="19">
        <v>0.0</v>
      </c>
      <c r="K94" s="6">
        <f>C94*PV_UPDATE+D94*PV_DEPLOY+E94*PV_HELP+F94*PV_BLOG+G94*PV_PR+H94*PV_BUILDNIGHT+I94*PV_MENTOR+J94*PV_DEMO</f>
        <v>0</v>
      </c>
    </row>
    <row r="95" ht="15.75" customHeight="1">
      <c r="A95" s="7" t="s">
        <v>270</v>
      </c>
      <c r="B95" s="7" t="s">
        <v>271</v>
      </c>
      <c r="C95" s="18">
        <v>1.0</v>
      </c>
      <c r="D95" s="18">
        <v>1.0</v>
      </c>
      <c r="E95" s="19"/>
      <c r="F95" s="18">
        <v>2.0</v>
      </c>
      <c r="G95" s="18">
        <v>15.0</v>
      </c>
      <c r="H95" s="19">
        <v>0.0</v>
      </c>
      <c r="I95" s="19">
        <v>0.0</v>
      </c>
      <c r="J95" s="19">
        <v>0.0</v>
      </c>
      <c r="K95" s="6">
        <f>C95*PV_UPDATE+D95*PV_DEPLOY+E95*PV_HELP+F95*PV_BLOG+G95*PV_PR+H95*PV_BUILDNIGHT+I95*PV_MENTOR+J95*PV_DEMO</f>
        <v>440</v>
      </c>
    </row>
    <row r="96" ht="15.75" customHeight="1">
      <c r="A96" s="7" t="s">
        <v>272</v>
      </c>
      <c r="B96" s="7" t="s">
        <v>273</v>
      </c>
      <c r="C96" s="19">
        <v>0.0</v>
      </c>
      <c r="D96" s="18">
        <v>0.0</v>
      </c>
      <c r="E96" s="19"/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6">
        <f>C96*PV_UPDATE+D96*PV_DEPLOY+E96*PV_HELP+F96*PV_BLOG+G96*PV_PR+H96*PV_BUILDNIGHT+I96*PV_MENTOR+J96*PV_DEMO</f>
        <v>0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16.0"/>
    <col customWidth="1" min="4" max="4" width="10.0"/>
    <col customWidth="1" min="5" max="5" width="16.0"/>
    <col customWidth="1" min="6" max="7" width="11.0"/>
    <col customWidth="1" min="8" max="8" width="16.0"/>
    <col customWidth="1" min="9" max="9" width="18.0"/>
    <col customWidth="1" min="10" max="11" width="13.0"/>
    <col customWidth="1" min="12" max="26" width="8.71"/>
  </cols>
  <sheetData>
    <row r="1">
      <c r="A1" s="3" t="s">
        <v>69</v>
      </c>
      <c r="B1" s="3" t="s">
        <v>70</v>
      </c>
      <c r="C1" s="3" t="s">
        <v>495</v>
      </c>
      <c r="D1" s="3" t="s">
        <v>496</v>
      </c>
      <c r="E1" s="3" t="s">
        <v>504</v>
      </c>
      <c r="F1" s="3" t="s">
        <v>497</v>
      </c>
      <c r="G1" s="3" t="s">
        <v>498</v>
      </c>
      <c r="H1" s="3" t="s">
        <v>499</v>
      </c>
      <c r="I1" s="3" t="s">
        <v>500</v>
      </c>
      <c r="J1" s="3" t="s">
        <v>501</v>
      </c>
      <c r="K1" s="3" t="s">
        <v>502</v>
      </c>
    </row>
    <row r="2">
      <c r="A2" s="7" t="s">
        <v>79</v>
      </c>
      <c r="B2" s="7" t="s">
        <v>80</v>
      </c>
      <c r="C2" s="19">
        <v>0.0</v>
      </c>
      <c r="D2" s="19">
        <v>0.0</v>
      </c>
      <c r="E2" s="19">
        <v>0.0</v>
      </c>
      <c r="F2" s="19">
        <v>0.0</v>
      </c>
      <c r="G2" s="19">
        <v>0.0</v>
      </c>
      <c r="H2" s="19">
        <v>0.0</v>
      </c>
      <c r="I2" s="19">
        <v>0.0</v>
      </c>
      <c r="J2" s="19">
        <v>0.0</v>
      </c>
      <c r="K2" s="6">
        <f>C2*PV_UPDATE+D2*PV_DEPLOY+E2*PV_HELP+F2*PV_BLOG+G2*PV_PR+H2*PV_BUILDNIGHT+I2*PV_MENTOR+J2*PV_DEMO</f>
        <v>0</v>
      </c>
    </row>
    <row r="3">
      <c r="A3" s="7" t="s">
        <v>82</v>
      </c>
      <c r="B3" s="7" t="s">
        <v>83</v>
      </c>
      <c r="C3" s="19">
        <v>0.0</v>
      </c>
      <c r="D3" s="19">
        <v>0.0</v>
      </c>
      <c r="E3" s="19">
        <v>0.0</v>
      </c>
      <c r="F3" s="19">
        <v>0.0</v>
      </c>
      <c r="G3" s="19">
        <v>0.0</v>
      </c>
      <c r="H3" s="19">
        <v>0.0</v>
      </c>
      <c r="I3" s="19">
        <v>0.0</v>
      </c>
      <c r="J3" s="19">
        <v>0.0</v>
      </c>
      <c r="K3" s="6">
        <f>C3*PV_UPDATE+D3*PV_DEPLOY+E3*PV_HELP+F3*PV_BLOG+G3*PV_PR+H3*PV_BUILDNIGHT+I3*PV_MENTOR+J3*PV_DEMO</f>
        <v>0</v>
      </c>
    </row>
    <row r="4">
      <c r="A4" s="7" t="s">
        <v>84</v>
      </c>
      <c r="B4" s="7" t="s">
        <v>85</v>
      </c>
      <c r="C4" s="19">
        <v>0.0</v>
      </c>
      <c r="D4" s="19">
        <v>0.0</v>
      </c>
      <c r="E4" s="19">
        <v>0.0</v>
      </c>
      <c r="F4" s="19">
        <v>0.0</v>
      </c>
      <c r="G4" s="19">
        <v>0.0</v>
      </c>
      <c r="H4" s="19">
        <v>0.0</v>
      </c>
      <c r="I4" s="19">
        <v>0.0</v>
      </c>
      <c r="J4" s="19">
        <v>0.0</v>
      </c>
      <c r="K4" s="6">
        <f>C4*PV_UPDATE+D4*PV_DEPLOY+E4*PV_HELP+F4*PV_BLOG+G4*PV_PR+H4*PV_BUILDNIGHT+I4*PV_MENTOR+J4*PV_DEMO</f>
        <v>0</v>
      </c>
    </row>
    <row r="5">
      <c r="A5" s="7" t="s">
        <v>87</v>
      </c>
      <c r="B5" s="7" t="s">
        <v>88</v>
      </c>
      <c r="C5" s="19">
        <v>0.0</v>
      </c>
      <c r="D5" s="19">
        <v>0.0</v>
      </c>
      <c r="E5" s="19">
        <v>0.0</v>
      </c>
      <c r="F5" s="19">
        <v>0.0</v>
      </c>
      <c r="G5" s="19">
        <v>0.0</v>
      </c>
      <c r="H5" s="19">
        <v>0.0</v>
      </c>
      <c r="I5" s="19">
        <v>0.0</v>
      </c>
      <c r="J5" s="19">
        <v>0.0</v>
      </c>
      <c r="K5" s="6">
        <f>C5*PV_UPDATE+D5*PV_DEPLOY+E5*PV_HELP+F5*PV_BLOG+G5*PV_PR+H5*PV_BUILDNIGHT+I5*PV_MENTOR+J5*PV_DEMO</f>
        <v>0</v>
      </c>
    </row>
    <row r="6">
      <c r="A6" s="7" t="s">
        <v>89</v>
      </c>
      <c r="B6" s="7" t="s">
        <v>90</v>
      </c>
      <c r="C6" s="19">
        <v>0.0</v>
      </c>
      <c r="D6" s="19">
        <v>0.0</v>
      </c>
      <c r="E6" s="19">
        <v>0.0</v>
      </c>
      <c r="F6" s="19">
        <v>0.0</v>
      </c>
      <c r="G6" s="19">
        <v>0.0</v>
      </c>
      <c r="H6" s="19">
        <v>0.0</v>
      </c>
      <c r="I6" s="19">
        <v>0.0</v>
      </c>
      <c r="J6" s="19">
        <v>0.0</v>
      </c>
      <c r="K6" s="6">
        <f>C6*PV_UPDATE+D6*PV_DEPLOY+E6*PV_HELP+F6*PV_BLOG+G6*PV_PR+H6*PV_BUILDNIGHT+I6*PV_MENTOR+J6*PV_DEMO</f>
        <v>0</v>
      </c>
    </row>
    <row r="7">
      <c r="A7" s="7" t="s">
        <v>91</v>
      </c>
      <c r="B7" s="7" t="s">
        <v>92</v>
      </c>
      <c r="C7" s="19">
        <v>0.0</v>
      </c>
      <c r="D7" s="19">
        <v>0.0</v>
      </c>
      <c r="E7" s="19">
        <v>0.0</v>
      </c>
      <c r="F7" s="19">
        <v>0.0</v>
      </c>
      <c r="G7" s="19">
        <v>0.0</v>
      </c>
      <c r="H7" s="19">
        <v>0.0</v>
      </c>
      <c r="I7" s="19">
        <v>0.0</v>
      </c>
      <c r="J7" s="19">
        <v>0.0</v>
      </c>
      <c r="K7" s="6">
        <f>C7*PV_UPDATE+D7*PV_DEPLOY+E7*PV_HELP+F7*PV_BLOG+G7*PV_PR+H7*PV_BUILDNIGHT+I7*PV_MENTOR+J7*PV_DEMO</f>
        <v>0</v>
      </c>
    </row>
    <row r="8">
      <c r="A8" s="7" t="s">
        <v>93</v>
      </c>
      <c r="B8" s="7" t="s">
        <v>94</v>
      </c>
      <c r="C8" s="19">
        <v>0.0</v>
      </c>
      <c r="D8" s="19">
        <v>0.0</v>
      </c>
      <c r="E8" s="19">
        <v>0.0</v>
      </c>
      <c r="F8" s="19">
        <v>0.0</v>
      </c>
      <c r="G8" s="19">
        <v>0.0</v>
      </c>
      <c r="H8" s="19">
        <v>0.0</v>
      </c>
      <c r="I8" s="19">
        <v>0.0</v>
      </c>
      <c r="J8" s="19">
        <v>0.0</v>
      </c>
      <c r="K8" s="6">
        <f>C8*PV_UPDATE+D8*PV_DEPLOY+E8*PV_HELP+F8*PV_BLOG+G8*PV_PR+H8*PV_BUILDNIGHT+I8*PV_MENTOR+J8*PV_DEMO</f>
        <v>0</v>
      </c>
    </row>
    <row r="9">
      <c r="A9" s="7" t="s">
        <v>96</v>
      </c>
      <c r="B9" s="7" t="s">
        <v>97</v>
      </c>
      <c r="C9" s="19">
        <v>0.0</v>
      </c>
      <c r="D9" s="19">
        <v>0.0</v>
      </c>
      <c r="E9" s="19">
        <v>0.0</v>
      </c>
      <c r="F9" s="19">
        <v>0.0</v>
      </c>
      <c r="G9" s="19">
        <v>0.0</v>
      </c>
      <c r="H9" s="19">
        <v>0.0</v>
      </c>
      <c r="I9" s="19">
        <v>0.0</v>
      </c>
      <c r="J9" s="19">
        <v>0.0</v>
      </c>
      <c r="K9" s="6">
        <f>C9*PV_UPDATE+D9*PV_DEPLOY+E9*PV_HELP+F9*PV_BLOG+G9*PV_PR+H9*PV_BUILDNIGHT+I9*PV_MENTOR+J9*PV_DEMO</f>
        <v>0</v>
      </c>
    </row>
    <row r="10">
      <c r="A10" s="7" t="s">
        <v>98</v>
      </c>
      <c r="B10" s="7" t="s">
        <v>99</v>
      </c>
      <c r="C10" s="19">
        <v>0.0</v>
      </c>
      <c r="D10" s="19">
        <v>0.0</v>
      </c>
      <c r="E10" s="19">
        <v>0.0</v>
      </c>
      <c r="F10" s="19">
        <v>0.0</v>
      </c>
      <c r="G10" s="19">
        <v>0.0</v>
      </c>
      <c r="H10" s="19">
        <v>0.0</v>
      </c>
      <c r="I10" s="19">
        <v>0.0</v>
      </c>
      <c r="J10" s="19">
        <v>0.0</v>
      </c>
      <c r="K10" s="6">
        <f>C10*PV_UPDATE+D10*PV_DEPLOY+E10*PV_HELP+F10*PV_BLOG+G10*PV_PR+H10*PV_BUILDNIGHT+I10*PV_MENTOR+J10*PV_DEMO</f>
        <v>0</v>
      </c>
    </row>
    <row r="11">
      <c r="A11" s="7" t="s">
        <v>100</v>
      </c>
      <c r="B11" s="7" t="s">
        <v>101</v>
      </c>
      <c r="C11" s="19">
        <v>0.0</v>
      </c>
      <c r="D11" s="19">
        <v>0.0</v>
      </c>
      <c r="E11" s="19">
        <v>0.0</v>
      </c>
      <c r="F11" s="19">
        <v>0.0</v>
      </c>
      <c r="G11" s="19">
        <v>0.0</v>
      </c>
      <c r="H11" s="19">
        <v>0.0</v>
      </c>
      <c r="I11" s="19">
        <v>0.0</v>
      </c>
      <c r="J11" s="19">
        <v>0.0</v>
      </c>
      <c r="K11" s="6">
        <f>C11*PV_UPDATE+D11*PV_DEPLOY+E11*PV_HELP+F11*PV_BLOG+G11*PV_PR+H11*PV_BUILDNIGHT+I11*PV_MENTOR+J11*PV_DEMO</f>
        <v>0</v>
      </c>
    </row>
    <row r="12">
      <c r="A12" s="7" t="s">
        <v>102</v>
      </c>
      <c r="B12" s="7" t="s">
        <v>103</v>
      </c>
      <c r="C12" s="19">
        <v>0.0</v>
      </c>
      <c r="D12" s="19">
        <v>0.0</v>
      </c>
      <c r="E12" s="19">
        <v>0.0</v>
      </c>
      <c r="F12" s="19">
        <v>0.0</v>
      </c>
      <c r="G12" s="19">
        <v>0.0</v>
      </c>
      <c r="H12" s="19">
        <v>0.0</v>
      </c>
      <c r="I12" s="19">
        <v>0.0</v>
      </c>
      <c r="J12" s="19">
        <v>0.0</v>
      </c>
      <c r="K12" s="6">
        <f>C12*PV_UPDATE+D12*PV_DEPLOY+E12*PV_HELP+F12*PV_BLOG+G12*PV_PR+H12*PV_BUILDNIGHT+I12*PV_MENTOR+J12*PV_DEMO</f>
        <v>0</v>
      </c>
    </row>
    <row r="13">
      <c r="A13" s="7" t="s">
        <v>104</v>
      </c>
      <c r="B13" s="7" t="s">
        <v>105</v>
      </c>
      <c r="C13" s="19">
        <v>0.0</v>
      </c>
      <c r="D13" s="19">
        <v>0.0</v>
      </c>
      <c r="E13" s="19">
        <v>0.0</v>
      </c>
      <c r="F13" s="19">
        <v>0.0</v>
      </c>
      <c r="G13" s="19">
        <v>0.0</v>
      </c>
      <c r="H13" s="19">
        <v>0.0</v>
      </c>
      <c r="I13" s="19">
        <v>0.0</v>
      </c>
      <c r="J13" s="19">
        <v>0.0</v>
      </c>
      <c r="K13" s="6">
        <f>C13*PV_UPDATE+D13*PV_DEPLOY+E13*PV_HELP+F13*PV_BLOG+G13*PV_PR+H13*PV_BUILDNIGHT+I13*PV_MENTOR+J13*PV_DEMO</f>
        <v>0</v>
      </c>
    </row>
    <row r="14">
      <c r="A14" s="7" t="s">
        <v>106</v>
      </c>
      <c r="B14" s="7" t="s">
        <v>107</v>
      </c>
      <c r="C14" s="19">
        <v>0.0</v>
      </c>
      <c r="D14" s="19">
        <v>0.0</v>
      </c>
      <c r="E14" s="19">
        <v>0.0</v>
      </c>
      <c r="F14" s="19">
        <v>0.0</v>
      </c>
      <c r="G14" s="19">
        <v>0.0</v>
      </c>
      <c r="H14" s="19">
        <v>0.0</v>
      </c>
      <c r="I14" s="19">
        <v>0.0</v>
      </c>
      <c r="J14" s="19">
        <v>0.0</v>
      </c>
      <c r="K14" s="6">
        <f>C14*PV_UPDATE+D14*PV_DEPLOY+E14*PV_HELP+F14*PV_BLOG+G14*PV_PR+H14*PV_BUILDNIGHT+I14*PV_MENTOR+J14*PV_DEMO</f>
        <v>0</v>
      </c>
    </row>
    <row r="15">
      <c r="A15" s="7" t="s">
        <v>108</v>
      </c>
      <c r="B15" s="7" t="s">
        <v>109</v>
      </c>
      <c r="C15" s="19">
        <v>0.0</v>
      </c>
      <c r="D15" s="19">
        <v>0.0</v>
      </c>
      <c r="E15" s="19">
        <v>0.0</v>
      </c>
      <c r="F15" s="19">
        <v>0.0</v>
      </c>
      <c r="G15" s="19">
        <v>0.0</v>
      </c>
      <c r="H15" s="19">
        <v>0.0</v>
      </c>
      <c r="I15" s="19">
        <v>0.0</v>
      </c>
      <c r="J15" s="19">
        <v>0.0</v>
      </c>
      <c r="K15" s="6">
        <f>C15*PV_UPDATE+D15*PV_DEPLOY+E15*PV_HELP+F15*PV_BLOG+G15*PV_PR+H15*PV_BUILDNIGHT+I15*PV_MENTOR+J15*PV_DEMO</f>
        <v>0</v>
      </c>
    </row>
    <row r="16">
      <c r="A16" s="7" t="s">
        <v>110</v>
      </c>
      <c r="B16" s="7" t="s">
        <v>111</v>
      </c>
      <c r="C16" s="19">
        <v>0.0</v>
      </c>
      <c r="D16" s="19">
        <v>0.0</v>
      </c>
      <c r="E16" s="19">
        <v>0.0</v>
      </c>
      <c r="F16" s="19">
        <v>0.0</v>
      </c>
      <c r="G16" s="19">
        <v>0.0</v>
      </c>
      <c r="H16" s="19">
        <v>0.0</v>
      </c>
      <c r="I16" s="19">
        <v>0.0</v>
      </c>
      <c r="J16" s="19">
        <v>0.0</v>
      </c>
      <c r="K16" s="6">
        <f>C16*PV_UPDATE+D16*PV_DEPLOY+E16*PV_HELP+F16*PV_BLOG+G16*PV_PR+H16*PV_BUILDNIGHT+I16*PV_MENTOR+J16*PV_DEMO</f>
        <v>0</v>
      </c>
    </row>
    <row r="17">
      <c r="A17" s="7" t="s">
        <v>112</v>
      </c>
      <c r="B17" s="7" t="s">
        <v>113</v>
      </c>
      <c r="C17" s="19">
        <v>0.0</v>
      </c>
      <c r="D17" s="19">
        <v>0.0</v>
      </c>
      <c r="E17" s="19">
        <v>0.0</v>
      </c>
      <c r="F17" s="19">
        <v>0.0</v>
      </c>
      <c r="G17" s="19">
        <v>0.0</v>
      </c>
      <c r="H17" s="19">
        <v>0.0</v>
      </c>
      <c r="I17" s="19">
        <v>0.0</v>
      </c>
      <c r="J17" s="19">
        <v>0.0</v>
      </c>
      <c r="K17" s="6">
        <f>C17*PV_UPDATE+D17*PV_DEPLOY+E17*PV_HELP+F17*PV_BLOG+G17*PV_PR+H17*PV_BUILDNIGHT+I17*PV_MENTOR+J17*PV_DEMO</f>
        <v>0</v>
      </c>
    </row>
    <row r="18">
      <c r="A18" s="7" t="s">
        <v>114</v>
      </c>
      <c r="B18" s="7" t="s">
        <v>115</v>
      </c>
      <c r="C18" s="19">
        <v>0.0</v>
      </c>
      <c r="D18" s="19">
        <v>0.0</v>
      </c>
      <c r="E18" s="19">
        <v>0.0</v>
      </c>
      <c r="F18" s="19">
        <v>0.0</v>
      </c>
      <c r="G18" s="19">
        <v>0.0</v>
      </c>
      <c r="H18" s="19">
        <v>0.0</v>
      </c>
      <c r="I18" s="19">
        <v>0.0</v>
      </c>
      <c r="J18" s="19">
        <v>0.0</v>
      </c>
      <c r="K18" s="6">
        <f>C18*PV_UPDATE+D18*PV_DEPLOY+E18*PV_HELP+F18*PV_BLOG+G18*PV_PR+H18*PV_BUILDNIGHT+I18*PV_MENTOR+J18*PV_DEMO</f>
        <v>0</v>
      </c>
    </row>
    <row r="19">
      <c r="A19" s="7" t="s">
        <v>116</v>
      </c>
      <c r="B19" s="7" t="s">
        <v>117</v>
      </c>
      <c r="C19" s="19">
        <v>0.0</v>
      </c>
      <c r="D19" s="19">
        <v>0.0</v>
      </c>
      <c r="E19" s="19">
        <v>0.0</v>
      </c>
      <c r="F19" s="19">
        <v>0.0</v>
      </c>
      <c r="G19" s="19">
        <v>0.0</v>
      </c>
      <c r="H19" s="19">
        <v>0.0</v>
      </c>
      <c r="I19" s="19">
        <v>0.0</v>
      </c>
      <c r="J19" s="19">
        <v>0.0</v>
      </c>
      <c r="K19" s="6">
        <f>C19*PV_UPDATE+D19*PV_DEPLOY+E19*PV_HELP+F19*PV_BLOG+G19*PV_PR+H19*PV_BUILDNIGHT+I19*PV_MENTOR+J19*PV_DEMO</f>
        <v>0</v>
      </c>
    </row>
    <row r="20">
      <c r="A20" s="7" t="s">
        <v>118</v>
      </c>
      <c r="B20" s="7" t="s">
        <v>119</v>
      </c>
      <c r="C20" s="19">
        <v>0.0</v>
      </c>
      <c r="D20" s="19">
        <v>0.0</v>
      </c>
      <c r="E20" s="19">
        <v>0.0</v>
      </c>
      <c r="F20" s="19">
        <v>0.0</v>
      </c>
      <c r="G20" s="19">
        <v>0.0</v>
      </c>
      <c r="H20" s="19">
        <v>0.0</v>
      </c>
      <c r="I20" s="19">
        <v>0.0</v>
      </c>
      <c r="J20" s="19">
        <v>0.0</v>
      </c>
      <c r="K20" s="6">
        <f>C20*PV_UPDATE+D20*PV_DEPLOY+E20*PV_HELP+F20*PV_BLOG+G20*PV_PR+H20*PV_BUILDNIGHT+I20*PV_MENTOR+J20*PV_DEMO</f>
        <v>0</v>
      </c>
    </row>
    <row r="21" ht="15.75" customHeight="1">
      <c r="A21" s="7" t="s">
        <v>120</v>
      </c>
      <c r="B21" s="7" t="s">
        <v>121</v>
      </c>
      <c r="C21" s="19">
        <v>0.0</v>
      </c>
      <c r="D21" s="19">
        <v>0.0</v>
      </c>
      <c r="E21" s="19">
        <v>0.0</v>
      </c>
      <c r="F21" s="19">
        <v>0.0</v>
      </c>
      <c r="G21" s="19">
        <v>0.0</v>
      </c>
      <c r="H21" s="19">
        <v>0.0</v>
      </c>
      <c r="I21" s="19">
        <v>0.0</v>
      </c>
      <c r="J21" s="19">
        <v>0.0</v>
      </c>
      <c r="K21" s="6">
        <f>C21*PV_UPDATE+D21*PV_DEPLOY+E21*PV_HELP+F21*PV_BLOG+G21*PV_PR+H21*PV_BUILDNIGHT+I21*PV_MENTOR+J21*PV_DEMO</f>
        <v>0</v>
      </c>
    </row>
    <row r="22" ht="15.75" customHeight="1">
      <c r="A22" s="7" t="s">
        <v>122</v>
      </c>
      <c r="B22" s="7" t="s">
        <v>123</v>
      </c>
      <c r="C22" s="19">
        <v>0.0</v>
      </c>
      <c r="D22" s="19">
        <v>0.0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6">
        <f>C22*PV_UPDATE+D22*PV_DEPLOY+E22*PV_HELP+F22*PV_BLOG+G22*PV_PR+H22*PV_BUILDNIGHT+I22*PV_MENTOR+J22*PV_DEMO</f>
        <v>0</v>
      </c>
    </row>
    <row r="23" ht="15.75" customHeight="1">
      <c r="A23" s="7" t="s">
        <v>124</v>
      </c>
      <c r="B23" s="7" t="s">
        <v>125</v>
      </c>
      <c r="C23" s="19">
        <v>0.0</v>
      </c>
      <c r="D23" s="19">
        <v>0.0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6">
        <f>C23*PV_UPDATE+D23*PV_DEPLOY+E23*PV_HELP+F23*PV_BLOG+G23*PV_PR+H23*PV_BUILDNIGHT+I23*PV_MENTOR+J23*PV_DEMO</f>
        <v>0</v>
      </c>
    </row>
    <row r="24" ht="15.75" customHeight="1">
      <c r="A24" s="7" t="s">
        <v>126</v>
      </c>
      <c r="B24" s="7" t="s">
        <v>127</v>
      </c>
      <c r="C24" s="19">
        <v>0.0</v>
      </c>
      <c r="D24" s="19">
        <v>0.0</v>
      </c>
      <c r="E24" s="19">
        <v>0.0</v>
      </c>
      <c r="F24" s="19">
        <v>0.0</v>
      </c>
      <c r="G24" s="19">
        <v>0.0</v>
      </c>
      <c r="H24" s="19">
        <v>0.0</v>
      </c>
      <c r="I24" s="19">
        <v>0.0</v>
      </c>
      <c r="J24" s="19">
        <v>0.0</v>
      </c>
      <c r="K24" s="6">
        <f>C24*PV_UPDATE+D24*PV_DEPLOY+E24*PV_HELP+F24*PV_BLOG+G24*PV_PR+H24*PV_BUILDNIGHT+I24*PV_MENTOR+J24*PV_DEMO</f>
        <v>0</v>
      </c>
    </row>
    <row r="25" ht="15.75" customHeight="1">
      <c r="A25" s="7" t="s">
        <v>128</v>
      </c>
      <c r="B25" s="7" t="s">
        <v>129</v>
      </c>
      <c r="C25" s="19">
        <v>0.0</v>
      </c>
      <c r="D25" s="19">
        <v>0.0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6">
        <f>C25*PV_UPDATE+D25*PV_DEPLOY+E25*PV_HELP+F25*PV_BLOG+G25*PV_PR+H25*PV_BUILDNIGHT+I25*PV_MENTOR+J25*PV_DEMO</f>
        <v>0</v>
      </c>
    </row>
    <row r="26" ht="15.75" customHeight="1">
      <c r="A26" s="7" t="s">
        <v>130</v>
      </c>
      <c r="B26" s="7" t="s">
        <v>131</v>
      </c>
      <c r="C26" s="19">
        <v>0.0</v>
      </c>
      <c r="D26" s="19">
        <v>0.0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6">
        <f>C26*PV_UPDATE+D26*PV_DEPLOY+E26*PV_HELP+F26*PV_BLOG+G26*PV_PR+H26*PV_BUILDNIGHT+I26*PV_MENTOR+J26*PV_DEMO</f>
        <v>0</v>
      </c>
    </row>
    <row r="27" ht="15.75" customHeight="1">
      <c r="A27" s="7" t="s">
        <v>132</v>
      </c>
      <c r="B27" s="7" t="s">
        <v>133</v>
      </c>
      <c r="C27" s="19">
        <v>0.0</v>
      </c>
      <c r="D27" s="19">
        <v>0.0</v>
      </c>
      <c r="E27" s="19">
        <v>0.0</v>
      </c>
      <c r="F27" s="19">
        <v>0.0</v>
      </c>
      <c r="G27" s="19">
        <v>0.0</v>
      </c>
      <c r="H27" s="19">
        <v>0.0</v>
      </c>
      <c r="I27" s="19">
        <v>0.0</v>
      </c>
      <c r="J27" s="19">
        <v>0.0</v>
      </c>
      <c r="K27" s="6">
        <f>C27*PV_UPDATE+D27*PV_DEPLOY+E27*PV_HELP+F27*PV_BLOG+G27*PV_PR+H27*PV_BUILDNIGHT+I27*PV_MENTOR+J27*PV_DEMO</f>
        <v>0</v>
      </c>
    </row>
    <row r="28" ht="15.75" customHeight="1">
      <c r="A28" s="7" t="s">
        <v>134</v>
      </c>
      <c r="B28" s="7" t="s">
        <v>135</v>
      </c>
      <c r="C28" s="19">
        <v>0.0</v>
      </c>
      <c r="D28" s="19">
        <v>0.0</v>
      </c>
      <c r="E28" s="19">
        <v>0.0</v>
      </c>
      <c r="F28" s="19">
        <v>0.0</v>
      </c>
      <c r="G28" s="19">
        <v>0.0</v>
      </c>
      <c r="H28" s="19">
        <v>0.0</v>
      </c>
      <c r="I28" s="19">
        <v>0.0</v>
      </c>
      <c r="J28" s="19">
        <v>0.0</v>
      </c>
      <c r="K28" s="6">
        <f>C28*PV_UPDATE+D28*PV_DEPLOY+E28*PV_HELP+F28*PV_BLOG+G28*PV_PR+H28*PV_BUILDNIGHT+I28*PV_MENTOR+J28*PV_DEMO</f>
        <v>0</v>
      </c>
    </row>
    <row r="29" ht="15.75" customHeight="1">
      <c r="A29" s="7" t="s">
        <v>136</v>
      </c>
      <c r="B29" s="7" t="s">
        <v>137</v>
      </c>
      <c r="C29" s="19">
        <v>0.0</v>
      </c>
      <c r="D29" s="19">
        <v>0.0</v>
      </c>
      <c r="E29" s="19">
        <v>0.0</v>
      </c>
      <c r="F29" s="19">
        <v>0.0</v>
      </c>
      <c r="G29" s="19">
        <v>0.0</v>
      </c>
      <c r="H29" s="19">
        <v>0.0</v>
      </c>
      <c r="I29" s="19">
        <v>0.0</v>
      </c>
      <c r="J29" s="19">
        <v>0.0</v>
      </c>
      <c r="K29" s="6">
        <f>C29*PV_UPDATE+D29*PV_DEPLOY+E29*PV_HELP+F29*PV_BLOG+G29*PV_PR+H29*PV_BUILDNIGHT+I29*PV_MENTOR+J29*PV_DEMO</f>
        <v>0</v>
      </c>
    </row>
    <row r="30" ht="15.75" customHeight="1">
      <c r="A30" s="7" t="s">
        <v>138</v>
      </c>
      <c r="B30" s="7" t="s">
        <v>139</v>
      </c>
      <c r="C30" s="19">
        <v>0.0</v>
      </c>
      <c r="D30" s="19">
        <v>0.0</v>
      </c>
      <c r="E30" s="19">
        <v>0.0</v>
      </c>
      <c r="F30" s="19">
        <v>0.0</v>
      </c>
      <c r="G30" s="19">
        <v>0.0</v>
      </c>
      <c r="H30" s="19">
        <v>0.0</v>
      </c>
      <c r="I30" s="19">
        <v>0.0</v>
      </c>
      <c r="J30" s="19">
        <v>0.0</v>
      </c>
      <c r="K30" s="6">
        <f>C30*PV_UPDATE+D30*PV_DEPLOY+E30*PV_HELP+F30*PV_BLOG+G30*PV_PR+H30*PV_BUILDNIGHT+I30*PV_MENTOR+J30*PV_DEMO</f>
        <v>0</v>
      </c>
    </row>
    <row r="31" ht="15.75" customHeight="1">
      <c r="A31" s="7" t="s">
        <v>140</v>
      </c>
      <c r="B31" s="7" t="s">
        <v>141</v>
      </c>
      <c r="C31" s="19">
        <v>0.0</v>
      </c>
      <c r="D31" s="19">
        <v>0.0</v>
      </c>
      <c r="E31" s="19">
        <v>0.0</v>
      </c>
      <c r="F31" s="19">
        <v>0.0</v>
      </c>
      <c r="G31" s="19">
        <v>0.0</v>
      </c>
      <c r="H31" s="19">
        <v>0.0</v>
      </c>
      <c r="I31" s="19">
        <v>0.0</v>
      </c>
      <c r="J31" s="19">
        <v>0.0</v>
      </c>
      <c r="K31" s="6">
        <f>C31*PV_UPDATE+D31*PV_DEPLOY+E31*PV_HELP+F31*PV_BLOG+G31*PV_PR+H31*PV_BUILDNIGHT+I31*PV_MENTOR+J31*PV_DEMO</f>
        <v>0</v>
      </c>
    </row>
    <row r="32" ht="15.75" customHeight="1">
      <c r="A32" s="7" t="s">
        <v>142</v>
      </c>
      <c r="B32" s="7" t="s">
        <v>143</v>
      </c>
      <c r="C32" s="19">
        <v>0.0</v>
      </c>
      <c r="D32" s="19">
        <v>0.0</v>
      </c>
      <c r="E32" s="19">
        <v>0.0</v>
      </c>
      <c r="F32" s="19">
        <v>0.0</v>
      </c>
      <c r="G32" s="19">
        <v>0.0</v>
      </c>
      <c r="H32" s="19">
        <v>0.0</v>
      </c>
      <c r="I32" s="19">
        <v>0.0</v>
      </c>
      <c r="J32" s="19">
        <v>0.0</v>
      </c>
      <c r="K32" s="6">
        <f>C32*PV_UPDATE+D32*PV_DEPLOY+E32*PV_HELP+F32*PV_BLOG+G32*PV_PR+H32*PV_BUILDNIGHT+I32*PV_MENTOR+J32*PV_DEMO</f>
        <v>0</v>
      </c>
    </row>
    <row r="33" ht="15.75" customHeight="1">
      <c r="A33" s="7" t="s">
        <v>144</v>
      </c>
      <c r="B33" s="7" t="s">
        <v>145</v>
      </c>
      <c r="C33" s="19">
        <v>0.0</v>
      </c>
      <c r="D33" s="19">
        <v>0.0</v>
      </c>
      <c r="E33" s="19">
        <v>0.0</v>
      </c>
      <c r="F33" s="19">
        <v>0.0</v>
      </c>
      <c r="G33" s="19">
        <v>0.0</v>
      </c>
      <c r="H33" s="19">
        <v>0.0</v>
      </c>
      <c r="I33" s="19">
        <v>0.0</v>
      </c>
      <c r="J33" s="19">
        <v>0.0</v>
      </c>
      <c r="K33" s="6">
        <f>C33*PV_UPDATE+D33*PV_DEPLOY+E33*PV_HELP+F33*PV_BLOG+G33*PV_PR+H33*PV_BUILDNIGHT+I33*PV_MENTOR+J33*PV_DEMO</f>
        <v>0</v>
      </c>
    </row>
    <row r="34" ht="15.75" customHeight="1">
      <c r="A34" s="7" t="s">
        <v>146</v>
      </c>
      <c r="B34" s="7" t="s">
        <v>147</v>
      </c>
      <c r="C34" s="19">
        <v>0.0</v>
      </c>
      <c r="D34" s="19">
        <v>0.0</v>
      </c>
      <c r="E34" s="19">
        <v>0.0</v>
      </c>
      <c r="F34" s="19">
        <v>0.0</v>
      </c>
      <c r="G34" s="19">
        <v>0.0</v>
      </c>
      <c r="H34" s="19">
        <v>0.0</v>
      </c>
      <c r="I34" s="19">
        <v>0.0</v>
      </c>
      <c r="J34" s="19">
        <v>0.0</v>
      </c>
      <c r="K34" s="6">
        <f>C34*PV_UPDATE+D34*PV_DEPLOY+E34*PV_HELP+F34*PV_BLOG+G34*PV_PR+H34*PV_BUILDNIGHT+I34*PV_MENTOR+J34*PV_DEMO</f>
        <v>0</v>
      </c>
    </row>
    <row r="35" ht="15.75" customHeight="1">
      <c r="A35" s="7" t="s">
        <v>148</v>
      </c>
      <c r="B35" s="7" t="s">
        <v>149</v>
      </c>
      <c r="C35" s="19">
        <v>0.0</v>
      </c>
      <c r="D35" s="19">
        <v>0.0</v>
      </c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6">
        <f>C35*PV_UPDATE+D35*PV_DEPLOY+E35*PV_HELP+F35*PV_BLOG+G35*PV_PR+H35*PV_BUILDNIGHT+I35*PV_MENTOR+J35*PV_DEMO</f>
        <v>0</v>
      </c>
    </row>
    <row r="36" ht="15.75" customHeight="1">
      <c r="A36" s="7" t="s">
        <v>150</v>
      </c>
      <c r="B36" s="7" t="s">
        <v>151</v>
      </c>
      <c r="C36" s="19">
        <v>0.0</v>
      </c>
      <c r="D36" s="19">
        <v>0.0</v>
      </c>
      <c r="E36" s="19">
        <v>0.0</v>
      </c>
      <c r="F36" s="19">
        <v>0.0</v>
      </c>
      <c r="G36" s="19">
        <v>0.0</v>
      </c>
      <c r="H36" s="19">
        <v>0.0</v>
      </c>
      <c r="I36" s="19">
        <v>0.0</v>
      </c>
      <c r="J36" s="19">
        <v>0.0</v>
      </c>
      <c r="K36" s="6">
        <f>C36*PV_UPDATE+D36*PV_DEPLOY+E36*PV_HELP+F36*PV_BLOG+G36*PV_PR+H36*PV_BUILDNIGHT+I36*PV_MENTOR+J36*PV_DEMO</f>
        <v>0</v>
      </c>
    </row>
    <row r="37" ht="15.75" customHeight="1">
      <c r="A37" s="7" t="s">
        <v>152</v>
      </c>
      <c r="B37" s="7" t="s">
        <v>153</v>
      </c>
      <c r="C37" s="19">
        <v>0.0</v>
      </c>
      <c r="D37" s="19">
        <v>0.0</v>
      </c>
      <c r="E37" s="19">
        <v>0.0</v>
      </c>
      <c r="F37" s="19">
        <v>0.0</v>
      </c>
      <c r="G37" s="19">
        <v>0.0</v>
      </c>
      <c r="H37" s="19">
        <v>0.0</v>
      </c>
      <c r="I37" s="19">
        <v>0.0</v>
      </c>
      <c r="J37" s="19">
        <v>0.0</v>
      </c>
      <c r="K37" s="6">
        <f>C37*PV_UPDATE+D37*PV_DEPLOY+E37*PV_HELP+F37*PV_BLOG+G37*PV_PR+H37*PV_BUILDNIGHT+I37*PV_MENTOR+J37*PV_DEMO</f>
        <v>0</v>
      </c>
    </row>
    <row r="38" ht="15.75" customHeight="1">
      <c r="A38" s="7" t="s">
        <v>154</v>
      </c>
      <c r="B38" s="7" t="s">
        <v>155</v>
      </c>
      <c r="C38" s="19">
        <v>0.0</v>
      </c>
      <c r="D38" s="19">
        <v>0.0</v>
      </c>
      <c r="E38" s="19">
        <v>0.0</v>
      </c>
      <c r="F38" s="19">
        <v>0.0</v>
      </c>
      <c r="G38" s="19">
        <v>0.0</v>
      </c>
      <c r="H38" s="19">
        <v>0.0</v>
      </c>
      <c r="I38" s="19">
        <v>0.0</v>
      </c>
      <c r="J38" s="19">
        <v>0.0</v>
      </c>
      <c r="K38" s="6">
        <f>C38*PV_UPDATE+D38*PV_DEPLOY+E38*PV_HELP+F38*PV_BLOG+G38*PV_PR+H38*PV_BUILDNIGHT+I38*PV_MENTOR+J38*PV_DEMO</f>
        <v>0</v>
      </c>
    </row>
    <row r="39" ht="15.75" customHeight="1">
      <c r="A39" s="7" t="s">
        <v>156</v>
      </c>
      <c r="B39" s="7" t="s">
        <v>157</v>
      </c>
      <c r="C39" s="19">
        <v>0.0</v>
      </c>
      <c r="D39" s="19">
        <v>0.0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6">
        <f>C39*PV_UPDATE+D39*PV_DEPLOY+E39*PV_HELP+F39*PV_BLOG+G39*PV_PR+H39*PV_BUILDNIGHT+I39*PV_MENTOR+J39*PV_DEMO</f>
        <v>0</v>
      </c>
    </row>
    <row r="40" ht="15.75" customHeight="1">
      <c r="A40" s="7" t="s">
        <v>158</v>
      </c>
      <c r="B40" s="7" t="s">
        <v>159</v>
      </c>
      <c r="C40" s="19">
        <v>0.0</v>
      </c>
      <c r="D40" s="19">
        <v>0.0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6">
        <f>C40*PV_UPDATE+D40*PV_DEPLOY+E40*PV_HELP+F40*PV_BLOG+G40*PV_PR+H40*PV_BUILDNIGHT+I40*PV_MENTOR+J40*PV_DEMO</f>
        <v>0</v>
      </c>
    </row>
    <row r="41" ht="15.75" customHeight="1">
      <c r="A41" s="7" t="s">
        <v>160</v>
      </c>
      <c r="B41" s="7" t="s">
        <v>161</v>
      </c>
      <c r="C41" s="19">
        <v>0.0</v>
      </c>
      <c r="D41" s="19">
        <v>0.0</v>
      </c>
      <c r="E41" s="19">
        <v>0.0</v>
      </c>
      <c r="F41" s="19">
        <v>0.0</v>
      </c>
      <c r="G41" s="19">
        <v>0.0</v>
      </c>
      <c r="H41" s="19">
        <v>0.0</v>
      </c>
      <c r="I41" s="19">
        <v>0.0</v>
      </c>
      <c r="J41" s="19">
        <v>0.0</v>
      </c>
      <c r="K41" s="6">
        <f>C41*PV_UPDATE+D41*PV_DEPLOY+E41*PV_HELP+F41*PV_BLOG+G41*PV_PR+H41*PV_BUILDNIGHT+I41*PV_MENTOR+J41*PV_DEMO</f>
        <v>0</v>
      </c>
    </row>
    <row r="42" ht="15.75" customHeight="1">
      <c r="A42" s="7" t="s">
        <v>162</v>
      </c>
      <c r="B42" s="7" t="s">
        <v>163</v>
      </c>
      <c r="C42" s="19">
        <v>0.0</v>
      </c>
      <c r="D42" s="19">
        <v>0.0</v>
      </c>
      <c r="E42" s="19">
        <v>0.0</v>
      </c>
      <c r="F42" s="19">
        <v>0.0</v>
      </c>
      <c r="G42" s="19">
        <v>0.0</v>
      </c>
      <c r="H42" s="19">
        <v>0.0</v>
      </c>
      <c r="I42" s="19">
        <v>0.0</v>
      </c>
      <c r="J42" s="19">
        <v>0.0</v>
      </c>
      <c r="K42" s="6">
        <f>C42*PV_UPDATE+D42*PV_DEPLOY+E42*PV_HELP+F42*PV_BLOG+G42*PV_PR+H42*PV_BUILDNIGHT+I42*PV_MENTOR+J42*PV_DEMO</f>
        <v>0</v>
      </c>
    </row>
    <row r="43" ht="15.75" customHeight="1">
      <c r="A43" s="7" t="s">
        <v>164</v>
      </c>
      <c r="B43" s="7" t="s">
        <v>165</v>
      </c>
      <c r="C43" s="19">
        <v>0.0</v>
      </c>
      <c r="D43" s="19">
        <v>0.0</v>
      </c>
      <c r="E43" s="19">
        <v>0.0</v>
      </c>
      <c r="F43" s="19">
        <v>0.0</v>
      </c>
      <c r="G43" s="19">
        <v>0.0</v>
      </c>
      <c r="H43" s="19">
        <v>0.0</v>
      </c>
      <c r="I43" s="19">
        <v>0.0</v>
      </c>
      <c r="J43" s="19">
        <v>0.0</v>
      </c>
      <c r="K43" s="6">
        <f>C43*PV_UPDATE+D43*PV_DEPLOY+E43*PV_HELP+F43*PV_BLOG+G43*PV_PR+H43*PV_BUILDNIGHT+I43*PV_MENTOR+J43*PV_DEMO</f>
        <v>0</v>
      </c>
    </row>
    <row r="44" ht="15.75" customHeight="1">
      <c r="A44" s="7" t="s">
        <v>167</v>
      </c>
      <c r="B44" s="7" t="s">
        <v>168</v>
      </c>
      <c r="C44" s="19">
        <v>0.0</v>
      </c>
      <c r="D44" s="19">
        <v>0.0</v>
      </c>
      <c r="E44" s="19">
        <v>0.0</v>
      </c>
      <c r="F44" s="19">
        <v>0.0</v>
      </c>
      <c r="G44" s="19">
        <v>0.0</v>
      </c>
      <c r="H44" s="19">
        <v>0.0</v>
      </c>
      <c r="I44" s="19">
        <v>0.0</v>
      </c>
      <c r="J44" s="19">
        <v>0.0</v>
      </c>
      <c r="K44" s="6">
        <f>C44*PV_UPDATE+D44*PV_DEPLOY+E44*PV_HELP+F44*PV_BLOG+G44*PV_PR+H44*PV_BUILDNIGHT+I44*PV_MENTOR+J44*PV_DEMO</f>
        <v>0</v>
      </c>
    </row>
    <row r="45" ht="15.75" customHeight="1">
      <c r="A45" s="7" t="s">
        <v>169</v>
      </c>
      <c r="B45" s="7" t="s">
        <v>170</v>
      </c>
      <c r="C45" s="19">
        <v>0.0</v>
      </c>
      <c r="D45" s="19">
        <v>0.0</v>
      </c>
      <c r="E45" s="19">
        <v>0.0</v>
      </c>
      <c r="F45" s="19">
        <v>0.0</v>
      </c>
      <c r="G45" s="19">
        <v>0.0</v>
      </c>
      <c r="H45" s="19">
        <v>0.0</v>
      </c>
      <c r="I45" s="19">
        <v>0.0</v>
      </c>
      <c r="J45" s="19">
        <v>0.0</v>
      </c>
      <c r="K45" s="6">
        <f>C45*PV_UPDATE+D45*PV_DEPLOY+E45*PV_HELP+F45*PV_BLOG+G45*PV_PR+H45*PV_BUILDNIGHT+I45*PV_MENTOR+J45*PV_DEMO</f>
        <v>0</v>
      </c>
    </row>
    <row r="46" ht="15.75" customHeight="1">
      <c r="A46" s="7" t="s">
        <v>171</v>
      </c>
      <c r="B46" s="7" t="s">
        <v>172</v>
      </c>
      <c r="C46" s="19">
        <v>0.0</v>
      </c>
      <c r="D46" s="19">
        <v>0.0</v>
      </c>
      <c r="E46" s="19">
        <v>0.0</v>
      </c>
      <c r="F46" s="19">
        <v>0.0</v>
      </c>
      <c r="G46" s="19">
        <v>0.0</v>
      </c>
      <c r="H46" s="19">
        <v>0.0</v>
      </c>
      <c r="I46" s="19">
        <v>0.0</v>
      </c>
      <c r="J46" s="19">
        <v>0.0</v>
      </c>
      <c r="K46" s="6">
        <f>C46*PV_UPDATE+D46*PV_DEPLOY+E46*PV_HELP+F46*PV_BLOG+G46*PV_PR+H46*PV_BUILDNIGHT+I46*PV_MENTOR+J46*PV_DEMO</f>
        <v>0</v>
      </c>
    </row>
    <row r="47" ht="15.75" customHeight="1">
      <c r="A47" s="7" t="s">
        <v>173</v>
      </c>
      <c r="B47" s="7" t="s">
        <v>174</v>
      </c>
      <c r="C47" s="19">
        <v>0.0</v>
      </c>
      <c r="D47" s="19">
        <v>0.0</v>
      </c>
      <c r="E47" s="19">
        <v>0.0</v>
      </c>
      <c r="F47" s="19">
        <v>0.0</v>
      </c>
      <c r="G47" s="19">
        <v>0.0</v>
      </c>
      <c r="H47" s="19">
        <v>0.0</v>
      </c>
      <c r="I47" s="19">
        <v>0.0</v>
      </c>
      <c r="J47" s="19">
        <v>0.0</v>
      </c>
      <c r="K47" s="6">
        <f>C47*PV_UPDATE+D47*PV_DEPLOY+E47*PV_HELP+F47*PV_BLOG+G47*PV_PR+H47*PV_BUILDNIGHT+I47*PV_MENTOR+J47*PV_DEMO</f>
        <v>0</v>
      </c>
    </row>
    <row r="48" ht="15.75" customHeight="1">
      <c r="A48" s="7" t="s">
        <v>175</v>
      </c>
      <c r="B48" s="7" t="s">
        <v>176</v>
      </c>
      <c r="C48" s="19">
        <v>0.0</v>
      </c>
      <c r="D48" s="19">
        <v>0.0</v>
      </c>
      <c r="E48" s="19">
        <v>0.0</v>
      </c>
      <c r="F48" s="19">
        <v>0.0</v>
      </c>
      <c r="G48" s="19">
        <v>0.0</v>
      </c>
      <c r="H48" s="19">
        <v>0.0</v>
      </c>
      <c r="I48" s="19">
        <v>0.0</v>
      </c>
      <c r="J48" s="19">
        <v>0.0</v>
      </c>
      <c r="K48" s="6">
        <f>C48*PV_UPDATE+D48*PV_DEPLOY+E48*PV_HELP+F48*PV_BLOG+G48*PV_PR+H48*PV_BUILDNIGHT+I48*PV_MENTOR+J48*PV_DEMO</f>
        <v>0</v>
      </c>
    </row>
    <row r="49" ht="15.75" customHeight="1">
      <c r="A49" s="7" t="s">
        <v>177</v>
      </c>
      <c r="B49" s="7" t="s">
        <v>178</v>
      </c>
      <c r="C49" s="19">
        <v>0.0</v>
      </c>
      <c r="D49" s="19">
        <v>0.0</v>
      </c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6">
        <f>C49*PV_UPDATE+D49*PV_DEPLOY+E49*PV_HELP+F49*PV_BLOG+G49*PV_PR+H49*PV_BUILDNIGHT+I49*PV_MENTOR+J49*PV_DEMO</f>
        <v>0</v>
      </c>
    </row>
    <row r="50" ht="15.75" customHeight="1">
      <c r="A50" s="7" t="s">
        <v>179</v>
      </c>
      <c r="B50" s="7" t="s">
        <v>180</v>
      </c>
      <c r="C50" s="19">
        <v>0.0</v>
      </c>
      <c r="D50" s="19">
        <v>0.0</v>
      </c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6">
        <f>C50*PV_UPDATE+D50*PV_DEPLOY+E50*PV_HELP+F50*PV_BLOG+G50*PV_PR+H50*PV_BUILDNIGHT+I50*PV_MENTOR+J50*PV_DEMO</f>
        <v>0</v>
      </c>
    </row>
    <row r="51" ht="15.75" customHeight="1">
      <c r="A51" s="7" t="s">
        <v>181</v>
      </c>
      <c r="B51" s="7" t="s">
        <v>182</v>
      </c>
      <c r="C51" s="19">
        <v>0.0</v>
      </c>
      <c r="D51" s="19">
        <v>0.0</v>
      </c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6">
        <f>C51*PV_UPDATE+D51*PV_DEPLOY+E51*PV_HELP+F51*PV_BLOG+G51*PV_PR+H51*PV_BUILDNIGHT+I51*PV_MENTOR+J51*PV_DEMO</f>
        <v>0</v>
      </c>
    </row>
    <row r="52" ht="15.75" customHeight="1">
      <c r="A52" s="7" t="s">
        <v>183</v>
      </c>
      <c r="B52" s="7" t="s">
        <v>184</v>
      </c>
      <c r="C52" s="19">
        <v>0.0</v>
      </c>
      <c r="D52" s="19">
        <v>0.0</v>
      </c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6">
        <f>C52*PV_UPDATE+D52*PV_DEPLOY+E52*PV_HELP+F52*PV_BLOG+G52*PV_PR+H52*PV_BUILDNIGHT+I52*PV_MENTOR+J52*PV_DEMO</f>
        <v>0</v>
      </c>
    </row>
    <row r="53" ht="15.75" customHeight="1">
      <c r="A53" s="7" t="s">
        <v>185</v>
      </c>
      <c r="B53" s="7" t="s">
        <v>186</v>
      </c>
      <c r="C53" s="19">
        <v>0.0</v>
      </c>
      <c r="D53" s="19">
        <v>0.0</v>
      </c>
      <c r="E53" s="19">
        <v>0.0</v>
      </c>
      <c r="F53" s="19">
        <v>0.0</v>
      </c>
      <c r="G53" s="19">
        <v>0.0</v>
      </c>
      <c r="H53" s="19">
        <v>0.0</v>
      </c>
      <c r="I53" s="19">
        <v>0.0</v>
      </c>
      <c r="J53" s="19">
        <v>0.0</v>
      </c>
      <c r="K53" s="6">
        <f>C53*PV_UPDATE+D53*PV_DEPLOY+E53*PV_HELP+F53*PV_BLOG+G53*PV_PR+H53*PV_BUILDNIGHT+I53*PV_MENTOR+J53*PV_DEMO</f>
        <v>0</v>
      </c>
    </row>
    <row r="54" ht="15.75" customHeight="1">
      <c r="A54" s="7" t="s">
        <v>187</v>
      </c>
      <c r="B54" s="7" t="s">
        <v>188</v>
      </c>
      <c r="C54" s="19">
        <v>0.0</v>
      </c>
      <c r="D54" s="19">
        <v>0.0</v>
      </c>
      <c r="E54" s="19">
        <v>0.0</v>
      </c>
      <c r="F54" s="19">
        <v>0.0</v>
      </c>
      <c r="G54" s="19">
        <v>0.0</v>
      </c>
      <c r="H54" s="19">
        <v>0.0</v>
      </c>
      <c r="I54" s="19">
        <v>0.0</v>
      </c>
      <c r="J54" s="19">
        <v>0.0</v>
      </c>
      <c r="K54" s="6">
        <f>C54*PV_UPDATE+D54*PV_DEPLOY+E54*PV_HELP+F54*PV_BLOG+G54*PV_PR+H54*PV_BUILDNIGHT+I54*PV_MENTOR+J54*PV_DEMO</f>
        <v>0</v>
      </c>
    </row>
    <row r="55" ht="15.75" customHeight="1">
      <c r="A55" s="7" t="s">
        <v>189</v>
      </c>
      <c r="B55" s="7" t="s">
        <v>190</v>
      </c>
      <c r="C55" s="19">
        <v>0.0</v>
      </c>
      <c r="D55" s="19">
        <v>0.0</v>
      </c>
      <c r="E55" s="19">
        <v>0.0</v>
      </c>
      <c r="F55" s="19">
        <v>0.0</v>
      </c>
      <c r="G55" s="19">
        <v>0.0</v>
      </c>
      <c r="H55" s="19">
        <v>0.0</v>
      </c>
      <c r="I55" s="19">
        <v>0.0</v>
      </c>
      <c r="J55" s="19">
        <v>0.0</v>
      </c>
      <c r="K55" s="6">
        <f>C55*PV_UPDATE+D55*PV_DEPLOY+E55*PV_HELP+F55*PV_BLOG+G55*PV_PR+H55*PV_BUILDNIGHT+I55*PV_MENTOR+J55*PV_DEMO</f>
        <v>0</v>
      </c>
    </row>
    <row r="56" ht="15.75" customHeight="1">
      <c r="A56" s="7" t="s">
        <v>191</v>
      </c>
      <c r="B56" s="7" t="s">
        <v>192</v>
      </c>
      <c r="C56" s="19">
        <v>0.0</v>
      </c>
      <c r="D56" s="19">
        <v>0.0</v>
      </c>
      <c r="E56" s="19">
        <v>0.0</v>
      </c>
      <c r="F56" s="19">
        <v>0.0</v>
      </c>
      <c r="G56" s="19">
        <v>0.0</v>
      </c>
      <c r="H56" s="19">
        <v>0.0</v>
      </c>
      <c r="I56" s="19">
        <v>0.0</v>
      </c>
      <c r="J56" s="19">
        <v>0.0</v>
      </c>
      <c r="K56" s="6">
        <f>C56*PV_UPDATE+D56*PV_DEPLOY+E56*PV_HELP+F56*PV_BLOG+G56*PV_PR+H56*PV_BUILDNIGHT+I56*PV_MENTOR+J56*PV_DEMO</f>
        <v>0</v>
      </c>
    </row>
    <row r="57" ht="15.75" customHeight="1">
      <c r="A57" s="7" t="s">
        <v>193</v>
      </c>
      <c r="B57" s="7" t="s">
        <v>194</v>
      </c>
      <c r="C57" s="19">
        <v>0.0</v>
      </c>
      <c r="D57" s="19">
        <v>0.0</v>
      </c>
      <c r="E57" s="19">
        <v>0.0</v>
      </c>
      <c r="F57" s="19">
        <v>0.0</v>
      </c>
      <c r="G57" s="19">
        <v>0.0</v>
      </c>
      <c r="H57" s="19">
        <v>0.0</v>
      </c>
      <c r="I57" s="19">
        <v>0.0</v>
      </c>
      <c r="J57" s="19">
        <v>0.0</v>
      </c>
      <c r="K57" s="6">
        <f>C57*PV_UPDATE+D57*PV_DEPLOY+E57*PV_HELP+F57*PV_BLOG+G57*PV_PR+H57*PV_BUILDNIGHT+I57*PV_MENTOR+J57*PV_DEMO</f>
        <v>0</v>
      </c>
    </row>
    <row r="58" ht="15.75" customHeight="1">
      <c r="A58" s="7" t="s">
        <v>195</v>
      </c>
      <c r="B58" s="7" t="s">
        <v>196</v>
      </c>
      <c r="C58" s="19">
        <v>0.0</v>
      </c>
      <c r="D58" s="19">
        <v>0.0</v>
      </c>
      <c r="E58" s="19">
        <v>0.0</v>
      </c>
      <c r="F58" s="19">
        <v>0.0</v>
      </c>
      <c r="G58" s="19">
        <v>0.0</v>
      </c>
      <c r="H58" s="19">
        <v>0.0</v>
      </c>
      <c r="I58" s="19">
        <v>0.0</v>
      </c>
      <c r="J58" s="19">
        <v>0.0</v>
      </c>
      <c r="K58" s="6">
        <f>C58*PV_UPDATE+D58*PV_DEPLOY+E58*PV_HELP+F58*PV_BLOG+G58*PV_PR+H58*PV_BUILDNIGHT+I58*PV_MENTOR+J58*PV_DEMO</f>
        <v>0</v>
      </c>
    </row>
    <row r="59" ht="15.75" customHeight="1">
      <c r="A59" s="7" t="s">
        <v>197</v>
      </c>
      <c r="B59" s="7" t="s">
        <v>198</v>
      </c>
      <c r="C59" s="19">
        <v>0.0</v>
      </c>
      <c r="D59" s="19">
        <v>0.0</v>
      </c>
      <c r="E59" s="19">
        <v>0.0</v>
      </c>
      <c r="F59" s="19">
        <v>0.0</v>
      </c>
      <c r="G59" s="19">
        <v>0.0</v>
      </c>
      <c r="H59" s="19">
        <v>0.0</v>
      </c>
      <c r="I59" s="19">
        <v>0.0</v>
      </c>
      <c r="J59" s="19">
        <v>0.0</v>
      </c>
      <c r="K59" s="6">
        <f>C59*PV_UPDATE+D59*PV_DEPLOY+E59*PV_HELP+F59*PV_BLOG+G59*PV_PR+H59*PV_BUILDNIGHT+I59*PV_MENTOR+J59*PV_DEMO</f>
        <v>0</v>
      </c>
    </row>
    <row r="60" ht="15.75" customHeight="1">
      <c r="A60" s="7" t="s">
        <v>199</v>
      </c>
      <c r="B60" s="7" t="s">
        <v>200</v>
      </c>
      <c r="C60" s="19">
        <v>0.0</v>
      </c>
      <c r="D60" s="19">
        <v>0.0</v>
      </c>
      <c r="E60" s="19">
        <v>0.0</v>
      </c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6">
        <f>C60*PV_UPDATE+D60*PV_DEPLOY+E60*PV_HELP+F60*PV_BLOG+G60*PV_PR+H60*PV_BUILDNIGHT+I60*PV_MENTOR+J60*PV_DEMO</f>
        <v>0</v>
      </c>
    </row>
    <row r="61" ht="15.75" customHeight="1">
      <c r="A61" s="7" t="s">
        <v>201</v>
      </c>
      <c r="B61" s="7" t="s">
        <v>202</v>
      </c>
      <c r="C61" s="19">
        <v>0.0</v>
      </c>
      <c r="D61" s="19">
        <v>0.0</v>
      </c>
      <c r="E61" s="19">
        <v>0.0</v>
      </c>
      <c r="F61" s="19">
        <v>0.0</v>
      </c>
      <c r="G61" s="19">
        <v>0.0</v>
      </c>
      <c r="H61" s="19">
        <v>0.0</v>
      </c>
      <c r="I61" s="19">
        <v>0.0</v>
      </c>
      <c r="J61" s="19">
        <v>0.0</v>
      </c>
      <c r="K61" s="6">
        <f>C61*PV_UPDATE+D61*PV_DEPLOY+E61*PV_HELP+F61*PV_BLOG+G61*PV_PR+H61*PV_BUILDNIGHT+I61*PV_MENTOR+J61*PV_DEMO</f>
        <v>0</v>
      </c>
    </row>
    <row r="62" ht="15.75" customHeight="1">
      <c r="A62" s="7" t="s">
        <v>203</v>
      </c>
      <c r="B62" s="7" t="s">
        <v>204</v>
      </c>
      <c r="C62" s="19">
        <v>0.0</v>
      </c>
      <c r="D62" s="19">
        <v>0.0</v>
      </c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6">
        <f>C62*PV_UPDATE+D62*PV_DEPLOY+E62*PV_HELP+F62*PV_BLOG+G62*PV_PR+H62*PV_BUILDNIGHT+I62*PV_MENTOR+J62*PV_DEMO</f>
        <v>0</v>
      </c>
    </row>
    <row r="63" ht="15.75" customHeight="1">
      <c r="A63" s="7" t="s">
        <v>205</v>
      </c>
      <c r="B63" s="7" t="s">
        <v>206</v>
      </c>
      <c r="C63" s="19">
        <v>0.0</v>
      </c>
      <c r="D63" s="19">
        <v>0.0</v>
      </c>
      <c r="E63" s="19">
        <v>0.0</v>
      </c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6">
        <f>C63*PV_UPDATE+D63*PV_DEPLOY+E63*PV_HELP+F63*PV_BLOG+G63*PV_PR+H63*PV_BUILDNIGHT+I63*PV_MENTOR+J63*PV_DEMO</f>
        <v>0</v>
      </c>
    </row>
    <row r="64" ht="15.75" customHeight="1">
      <c r="A64" s="7" t="s">
        <v>207</v>
      </c>
      <c r="B64" s="7" t="s">
        <v>208</v>
      </c>
      <c r="C64" s="19">
        <v>0.0</v>
      </c>
      <c r="D64" s="19">
        <v>0.0</v>
      </c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6">
        <f>C64*PV_UPDATE+D64*PV_DEPLOY+E64*PV_HELP+F64*PV_BLOG+G64*PV_PR+H64*PV_BUILDNIGHT+I64*PV_MENTOR+J64*PV_DEMO</f>
        <v>0</v>
      </c>
    </row>
    <row r="65" ht="15.75" customHeight="1">
      <c r="A65" s="7" t="s">
        <v>209</v>
      </c>
      <c r="B65" s="7" t="s">
        <v>210</v>
      </c>
      <c r="C65" s="19">
        <v>0.0</v>
      </c>
      <c r="D65" s="19">
        <v>0.0</v>
      </c>
      <c r="E65" s="19">
        <v>0.0</v>
      </c>
      <c r="F65" s="19">
        <v>0.0</v>
      </c>
      <c r="G65" s="19">
        <v>0.0</v>
      </c>
      <c r="H65" s="19">
        <v>0.0</v>
      </c>
      <c r="I65" s="19">
        <v>0.0</v>
      </c>
      <c r="J65" s="19">
        <v>0.0</v>
      </c>
      <c r="K65" s="6">
        <f>C65*PV_UPDATE+D65*PV_DEPLOY+E65*PV_HELP+F65*PV_BLOG+G65*PV_PR+H65*PV_BUILDNIGHT+I65*PV_MENTOR+J65*PV_DEMO</f>
        <v>0</v>
      </c>
    </row>
    <row r="66" ht="15.75" customHeight="1">
      <c r="A66" s="7" t="s">
        <v>211</v>
      </c>
      <c r="B66" s="7" t="s">
        <v>212</v>
      </c>
      <c r="C66" s="19">
        <v>0.0</v>
      </c>
      <c r="D66" s="19">
        <v>0.0</v>
      </c>
      <c r="E66" s="19">
        <v>0.0</v>
      </c>
      <c r="F66" s="19">
        <v>0.0</v>
      </c>
      <c r="G66" s="19">
        <v>0.0</v>
      </c>
      <c r="H66" s="19">
        <v>0.0</v>
      </c>
      <c r="I66" s="19">
        <v>0.0</v>
      </c>
      <c r="J66" s="19">
        <v>0.0</v>
      </c>
      <c r="K66" s="6">
        <f>C66*PV_UPDATE+D66*PV_DEPLOY+E66*PV_HELP+F66*PV_BLOG+G66*PV_PR+H66*PV_BUILDNIGHT+I66*PV_MENTOR+J66*PV_DEMO</f>
        <v>0</v>
      </c>
    </row>
    <row r="67" ht="15.75" customHeight="1">
      <c r="A67" s="7" t="s">
        <v>213</v>
      </c>
      <c r="B67" s="7" t="s">
        <v>214</v>
      </c>
      <c r="C67" s="19">
        <v>0.0</v>
      </c>
      <c r="D67" s="19">
        <v>0.0</v>
      </c>
      <c r="E67" s="19">
        <v>0.0</v>
      </c>
      <c r="F67" s="19">
        <v>0.0</v>
      </c>
      <c r="G67" s="19">
        <v>0.0</v>
      </c>
      <c r="H67" s="19">
        <v>0.0</v>
      </c>
      <c r="I67" s="19">
        <v>0.0</v>
      </c>
      <c r="J67" s="19">
        <v>0.0</v>
      </c>
      <c r="K67" s="6">
        <f>C67*PV_UPDATE+D67*PV_DEPLOY+E67*PV_HELP+F67*PV_BLOG+G67*PV_PR+H67*PV_BUILDNIGHT+I67*PV_MENTOR+J67*PV_DEMO</f>
        <v>0</v>
      </c>
    </row>
    <row r="68" ht="15.75" customHeight="1">
      <c r="A68" s="7" t="s">
        <v>215</v>
      </c>
      <c r="B68" s="7" t="s">
        <v>216</v>
      </c>
      <c r="C68" s="19">
        <v>0.0</v>
      </c>
      <c r="D68" s="19">
        <v>0.0</v>
      </c>
      <c r="E68" s="19">
        <v>0.0</v>
      </c>
      <c r="F68" s="19">
        <v>0.0</v>
      </c>
      <c r="G68" s="19">
        <v>0.0</v>
      </c>
      <c r="H68" s="19">
        <v>0.0</v>
      </c>
      <c r="I68" s="19">
        <v>0.0</v>
      </c>
      <c r="J68" s="19">
        <v>0.0</v>
      </c>
      <c r="K68" s="6">
        <f>C68*PV_UPDATE+D68*PV_DEPLOY+E68*PV_HELP+F68*PV_BLOG+G68*PV_PR+H68*PV_BUILDNIGHT+I68*PV_MENTOR+J68*PV_DEMO</f>
        <v>0</v>
      </c>
    </row>
    <row r="69" ht="15.75" customHeight="1">
      <c r="A69" s="7" t="s">
        <v>217</v>
      </c>
      <c r="B69" s="7" t="s">
        <v>218</v>
      </c>
      <c r="C69" s="19">
        <v>0.0</v>
      </c>
      <c r="D69" s="19">
        <v>0.0</v>
      </c>
      <c r="E69" s="19">
        <v>0.0</v>
      </c>
      <c r="F69" s="19">
        <v>0.0</v>
      </c>
      <c r="G69" s="19">
        <v>0.0</v>
      </c>
      <c r="H69" s="19">
        <v>0.0</v>
      </c>
      <c r="I69" s="19">
        <v>0.0</v>
      </c>
      <c r="J69" s="19">
        <v>0.0</v>
      </c>
      <c r="K69" s="6">
        <f>C69*PV_UPDATE+D69*PV_DEPLOY+E69*PV_HELP+F69*PV_BLOG+G69*PV_PR+H69*PV_BUILDNIGHT+I69*PV_MENTOR+J69*PV_DEMO</f>
        <v>0</v>
      </c>
    </row>
    <row r="70" ht="15.75" customHeight="1">
      <c r="A70" s="7" t="s">
        <v>219</v>
      </c>
      <c r="B70" s="7" t="s">
        <v>220</v>
      </c>
      <c r="C70" s="19">
        <v>0.0</v>
      </c>
      <c r="D70" s="19">
        <v>0.0</v>
      </c>
      <c r="E70" s="19">
        <v>0.0</v>
      </c>
      <c r="F70" s="19">
        <v>0.0</v>
      </c>
      <c r="G70" s="19">
        <v>0.0</v>
      </c>
      <c r="H70" s="19">
        <v>0.0</v>
      </c>
      <c r="I70" s="19">
        <v>0.0</v>
      </c>
      <c r="J70" s="19">
        <v>0.0</v>
      </c>
      <c r="K70" s="6">
        <f>C70*PV_UPDATE+D70*PV_DEPLOY+E70*PV_HELP+F70*PV_BLOG+G70*PV_PR+H70*PV_BUILDNIGHT+I70*PV_MENTOR+J70*PV_DEMO</f>
        <v>0</v>
      </c>
    </row>
    <row r="71" ht="15.75" customHeight="1">
      <c r="A71" s="7" t="s">
        <v>221</v>
      </c>
      <c r="B71" s="7" t="s">
        <v>222</v>
      </c>
      <c r="C71" s="19">
        <v>0.0</v>
      </c>
      <c r="D71" s="19">
        <v>0.0</v>
      </c>
      <c r="E71" s="19">
        <v>0.0</v>
      </c>
      <c r="F71" s="19">
        <v>0.0</v>
      </c>
      <c r="G71" s="19">
        <v>0.0</v>
      </c>
      <c r="H71" s="19">
        <v>0.0</v>
      </c>
      <c r="I71" s="19">
        <v>0.0</v>
      </c>
      <c r="J71" s="19">
        <v>0.0</v>
      </c>
      <c r="K71" s="6">
        <f>C71*PV_UPDATE+D71*PV_DEPLOY+E71*PV_HELP+F71*PV_BLOG+G71*PV_PR+H71*PV_BUILDNIGHT+I71*PV_MENTOR+J71*PV_DEMO</f>
        <v>0</v>
      </c>
    </row>
    <row r="72" ht="15.75" customHeight="1">
      <c r="A72" s="7" t="s">
        <v>223</v>
      </c>
      <c r="B72" s="7" t="s">
        <v>224</v>
      </c>
      <c r="C72" s="19">
        <v>0.0</v>
      </c>
      <c r="D72" s="19">
        <v>0.0</v>
      </c>
      <c r="E72" s="19">
        <v>0.0</v>
      </c>
      <c r="F72" s="19">
        <v>0.0</v>
      </c>
      <c r="G72" s="19">
        <v>0.0</v>
      </c>
      <c r="H72" s="19">
        <v>0.0</v>
      </c>
      <c r="I72" s="19">
        <v>0.0</v>
      </c>
      <c r="J72" s="19">
        <v>0.0</v>
      </c>
      <c r="K72" s="6">
        <f>C72*PV_UPDATE+D72*PV_DEPLOY+E72*PV_HELP+F72*PV_BLOG+G72*PV_PR+H72*PV_BUILDNIGHT+I72*PV_MENTOR+J72*PV_DEMO</f>
        <v>0</v>
      </c>
    </row>
    <row r="73" ht="15.75" customHeight="1">
      <c r="A73" s="7" t="s">
        <v>225</v>
      </c>
      <c r="B73" s="7" t="s">
        <v>226</v>
      </c>
      <c r="C73" s="19">
        <v>0.0</v>
      </c>
      <c r="D73" s="19">
        <v>0.0</v>
      </c>
      <c r="E73" s="19">
        <v>0.0</v>
      </c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6">
        <f>C73*PV_UPDATE+D73*PV_DEPLOY+E73*PV_HELP+F73*PV_BLOG+G73*PV_PR+H73*PV_BUILDNIGHT+I73*PV_MENTOR+J73*PV_DEMO</f>
        <v>0</v>
      </c>
    </row>
    <row r="74" ht="15.75" customHeight="1">
      <c r="A74" s="7" t="s">
        <v>227</v>
      </c>
      <c r="B74" s="7" t="s">
        <v>228</v>
      </c>
      <c r="C74" s="19">
        <v>0.0</v>
      </c>
      <c r="D74" s="19">
        <v>0.0</v>
      </c>
      <c r="E74" s="19">
        <v>0.0</v>
      </c>
      <c r="F74" s="19">
        <v>0.0</v>
      </c>
      <c r="G74" s="19">
        <v>0.0</v>
      </c>
      <c r="H74" s="19">
        <v>0.0</v>
      </c>
      <c r="I74" s="19">
        <v>0.0</v>
      </c>
      <c r="J74" s="19">
        <v>0.0</v>
      </c>
      <c r="K74" s="6">
        <f>C74*PV_UPDATE+D74*PV_DEPLOY+E74*PV_HELP+F74*PV_BLOG+G74*PV_PR+H74*PV_BUILDNIGHT+I74*PV_MENTOR+J74*PV_DEMO</f>
        <v>0</v>
      </c>
    </row>
    <row r="75" ht="15.75" customHeight="1">
      <c r="A75" s="7" t="s">
        <v>229</v>
      </c>
      <c r="B75" s="7" t="s">
        <v>230</v>
      </c>
      <c r="C75" s="19">
        <v>0.0</v>
      </c>
      <c r="D75" s="19">
        <v>0.0</v>
      </c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6">
        <f>C75*PV_UPDATE+D75*PV_DEPLOY+E75*PV_HELP+F75*PV_BLOG+G75*PV_PR+H75*PV_BUILDNIGHT+I75*PV_MENTOR+J75*PV_DEMO</f>
        <v>0</v>
      </c>
    </row>
    <row r="76" ht="15.75" customHeight="1">
      <c r="A76" s="7" t="s">
        <v>231</v>
      </c>
      <c r="B76" s="7" t="s">
        <v>232</v>
      </c>
      <c r="C76" s="19">
        <v>0.0</v>
      </c>
      <c r="D76" s="19">
        <v>0.0</v>
      </c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6">
        <f>C76*PV_UPDATE+D76*PV_DEPLOY+E76*PV_HELP+F76*PV_BLOG+G76*PV_PR+H76*PV_BUILDNIGHT+I76*PV_MENTOR+J76*PV_DEMO</f>
        <v>0</v>
      </c>
    </row>
    <row r="77" ht="15.75" customHeight="1">
      <c r="A77" s="7" t="s">
        <v>233</v>
      </c>
      <c r="B77" s="7" t="s">
        <v>234</v>
      </c>
      <c r="C77" s="19">
        <v>0.0</v>
      </c>
      <c r="D77" s="19">
        <v>0.0</v>
      </c>
      <c r="E77" s="19">
        <v>0.0</v>
      </c>
      <c r="F77" s="19">
        <v>0.0</v>
      </c>
      <c r="G77" s="19">
        <v>0.0</v>
      </c>
      <c r="H77" s="19">
        <v>0.0</v>
      </c>
      <c r="I77" s="19">
        <v>0.0</v>
      </c>
      <c r="J77" s="19">
        <v>0.0</v>
      </c>
      <c r="K77" s="6">
        <f>C77*PV_UPDATE+D77*PV_DEPLOY+E77*PV_HELP+F77*PV_BLOG+G77*PV_PR+H77*PV_BUILDNIGHT+I77*PV_MENTOR+J77*PV_DEMO</f>
        <v>0</v>
      </c>
    </row>
    <row r="78" ht="15.75" customHeight="1">
      <c r="A78" s="7" t="s">
        <v>235</v>
      </c>
      <c r="B78" s="7" t="s">
        <v>236</v>
      </c>
      <c r="C78" s="19">
        <v>0.0</v>
      </c>
      <c r="D78" s="19">
        <v>0.0</v>
      </c>
      <c r="E78" s="19">
        <v>0.0</v>
      </c>
      <c r="F78" s="19">
        <v>0.0</v>
      </c>
      <c r="G78" s="19">
        <v>0.0</v>
      </c>
      <c r="H78" s="19">
        <v>0.0</v>
      </c>
      <c r="I78" s="19">
        <v>0.0</v>
      </c>
      <c r="J78" s="19">
        <v>0.0</v>
      </c>
      <c r="K78" s="6">
        <f>C78*PV_UPDATE+D78*PV_DEPLOY+E78*PV_HELP+F78*PV_BLOG+G78*PV_PR+H78*PV_BUILDNIGHT+I78*PV_MENTOR+J78*PV_DEMO</f>
        <v>0</v>
      </c>
    </row>
    <row r="79" ht="15.75" customHeight="1">
      <c r="A79" s="7" t="s">
        <v>237</v>
      </c>
      <c r="B79" s="7" t="s">
        <v>238</v>
      </c>
      <c r="C79" s="19">
        <v>0.0</v>
      </c>
      <c r="D79" s="19">
        <v>0.0</v>
      </c>
      <c r="E79" s="19">
        <v>0.0</v>
      </c>
      <c r="F79" s="19">
        <v>0.0</v>
      </c>
      <c r="G79" s="19">
        <v>0.0</v>
      </c>
      <c r="H79" s="19">
        <v>0.0</v>
      </c>
      <c r="I79" s="19">
        <v>0.0</v>
      </c>
      <c r="J79" s="19">
        <v>0.0</v>
      </c>
      <c r="K79" s="6">
        <f>C79*PV_UPDATE+D79*PV_DEPLOY+E79*PV_HELP+F79*PV_BLOG+G79*PV_PR+H79*PV_BUILDNIGHT+I79*PV_MENTOR+J79*PV_DEMO</f>
        <v>0</v>
      </c>
    </row>
    <row r="80" ht="15.75" customHeight="1">
      <c r="A80" s="7" t="s">
        <v>239</v>
      </c>
      <c r="B80" s="7" t="s">
        <v>240</v>
      </c>
      <c r="C80" s="19">
        <v>0.0</v>
      </c>
      <c r="D80" s="19">
        <v>0.0</v>
      </c>
      <c r="E80" s="19">
        <v>0.0</v>
      </c>
      <c r="F80" s="19">
        <v>0.0</v>
      </c>
      <c r="G80" s="19">
        <v>0.0</v>
      </c>
      <c r="H80" s="19">
        <v>0.0</v>
      </c>
      <c r="I80" s="19">
        <v>0.0</v>
      </c>
      <c r="J80" s="19">
        <v>0.0</v>
      </c>
      <c r="K80" s="6">
        <f>C80*PV_UPDATE+D80*PV_DEPLOY+E80*PV_HELP+F80*PV_BLOG+G80*PV_PR+H80*PV_BUILDNIGHT+I80*PV_MENTOR+J80*PV_DEMO</f>
        <v>0</v>
      </c>
    </row>
    <row r="81" ht="15.75" customHeight="1">
      <c r="A81" s="7" t="s">
        <v>241</v>
      </c>
      <c r="B81" s="7" t="s">
        <v>242</v>
      </c>
      <c r="C81" s="19">
        <v>0.0</v>
      </c>
      <c r="D81" s="19">
        <v>0.0</v>
      </c>
      <c r="E81" s="19">
        <v>0.0</v>
      </c>
      <c r="F81" s="19">
        <v>0.0</v>
      </c>
      <c r="G81" s="19">
        <v>0.0</v>
      </c>
      <c r="H81" s="19">
        <v>0.0</v>
      </c>
      <c r="I81" s="19">
        <v>0.0</v>
      </c>
      <c r="J81" s="19">
        <v>0.0</v>
      </c>
      <c r="K81" s="6">
        <f>C81*PV_UPDATE+D81*PV_DEPLOY+E81*PV_HELP+F81*PV_BLOG+G81*PV_PR+H81*PV_BUILDNIGHT+I81*PV_MENTOR+J81*PV_DEMO</f>
        <v>0</v>
      </c>
    </row>
    <row r="82" ht="15.75" customHeight="1">
      <c r="A82" s="7" t="s">
        <v>243</v>
      </c>
      <c r="B82" s="7" t="s">
        <v>244</v>
      </c>
      <c r="C82" s="19">
        <v>0.0</v>
      </c>
      <c r="D82" s="19">
        <v>0.0</v>
      </c>
      <c r="E82" s="19">
        <v>0.0</v>
      </c>
      <c r="F82" s="19">
        <v>0.0</v>
      </c>
      <c r="G82" s="19">
        <v>0.0</v>
      </c>
      <c r="H82" s="19">
        <v>0.0</v>
      </c>
      <c r="I82" s="19">
        <v>0.0</v>
      </c>
      <c r="J82" s="19">
        <v>0.0</v>
      </c>
      <c r="K82" s="6">
        <f>C82*PV_UPDATE+D82*PV_DEPLOY+E82*PV_HELP+F82*PV_BLOG+G82*PV_PR+H82*PV_BUILDNIGHT+I82*PV_MENTOR+J82*PV_DEMO</f>
        <v>0</v>
      </c>
    </row>
    <row r="83" ht="15.75" customHeight="1">
      <c r="A83" s="7" t="s">
        <v>245</v>
      </c>
      <c r="B83" s="7" t="s">
        <v>246</v>
      </c>
      <c r="C83" s="19">
        <v>0.0</v>
      </c>
      <c r="D83" s="19">
        <v>0.0</v>
      </c>
      <c r="E83" s="19">
        <v>0.0</v>
      </c>
      <c r="F83" s="19">
        <v>0.0</v>
      </c>
      <c r="G83" s="19">
        <v>0.0</v>
      </c>
      <c r="H83" s="19">
        <v>0.0</v>
      </c>
      <c r="I83" s="19">
        <v>0.0</v>
      </c>
      <c r="J83" s="19">
        <v>0.0</v>
      </c>
      <c r="K83" s="6">
        <f>C83*PV_UPDATE+D83*PV_DEPLOY+E83*PV_HELP+F83*PV_BLOG+G83*PV_PR+H83*PV_BUILDNIGHT+I83*PV_MENTOR+J83*PV_DEMO</f>
        <v>0</v>
      </c>
    </row>
    <row r="84" ht="15.75" customHeight="1">
      <c r="A84" s="7" t="s">
        <v>247</v>
      </c>
      <c r="B84" s="7" t="s">
        <v>248</v>
      </c>
      <c r="C84" s="19">
        <v>0.0</v>
      </c>
      <c r="D84" s="19">
        <v>0.0</v>
      </c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6">
        <f>C84*PV_UPDATE+D84*PV_DEPLOY+E84*PV_HELP+F84*PV_BLOG+G84*PV_PR+H84*PV_BUILDNIGHT+I84*PV_MENTOR+J84*PV_DEMO</f>
        <v>0</v>
      </c>
    </row>
    <row r="85" ht="15.75" customHeight="1">
      <c r="A85" s="7" t="s">
        <v>249</v>
      </c>
      <c r="B85" s="7" t="s">
        <v>250</v>
      </c>
      <c r="C85" s="19">
        <v>0.0</v>
      </c>
      <c r="D85" s="19">
        <v>0.0</v>
      </c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6">
        <f>C85*PV_UPDATE+D85*PV_DEPLOY+E85*PV_HELP+F85*PV_BLOG+G85*PV_PR+H85*PV_BUILDNIGHT+I85*PV_MENTOR+J85*PV_DEMO</f>
        <v>0</v>
      </c>
    </row>
    <row r="86" ht="15.75" customHeight="1">
      <c r="A86" s="7" t="s">
        <v>251</v>
      </c>
      <c r="B86" s="7" t="s">
        <v>252</v>
      </c>
      <c r="C86" s="19">
        <v>0.0</v>
      </c>
      <c r="D86" s="19">
        <v>0.0</v>
      </c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6">
        <f>C86*PV_UPDATE+D86*PV_DEPLOY+E86*PV_HELP+F86*PV_BLOG+G86*PV_PR+H86*PV_BUILDNIGHT+I86*PV_MENTOR+J86*PV_DEMO</f>
        <v>0</v>
      </c>
    </row>
    <row r="87" ht="15.75" customHeight="1">
      <c r="A87" s="7" t="s">
        <v>253</v>
      </c>
      <c r="B87" s="7" t="s">
        <v>254</v>
      </c>
      <c r="C87" s="19">
        <v>0.0</v>
      </c>
      <c r="D87" s="19">
        <v>0.0</v>
      </c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6">
        <f>C87*PV_UPDATE+D87*PV_DEPLOY+E87*PV_HELP+F87*PV_BLOG+G87*PV_PR+H87*PV_BUILDNIGHT+I87*PV_MENTOR+J87*PV_DEMO</f>
        <v>0</v>
      </c>
    </row>
    <row r="88" ht="15.75" customHeight="1">
      <c r="A88" s="7" t="s">
        <v>256</v>
      </c>
      <c r="B88" s="7" t="s">
        <v>257</v>
      </c>
      <c r="C88" s="19">
        <v>0.0</v>
      </c>
      <c r="D88" s="19">
        <v>0.0</v>
      </c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6">
        <f>C88*PV_UPDATE+D88*PV_DEPLOY+E88*PV_HELP+F88*PV_BLOG+G88*PV_PR+H88*PV_BUILDNIGHT+I88*PV_MENTOR+J88*PV_DEMO</f>
        <v>0</v>
      </c>
    </row>
    <row r="89" ht="15.75" customHeight="1">
      <c r="A89" s="7" t="s">
        <v>258</v>
      </c>
      <c r="B89" s="7" t="s">
        <v>259</v>
      </c>
      <c r="C89" s="19">
        <v>0.0</v>
      </c>
      <c r="D89" s="19">
        <v>0.0</v>
      </c>
      <c r="E89" s="19">
        <v>0.0</v>
      </c>
      <c r="F89" s="19">
        <v>0.0</v>
      </c>
      <c r="G89" s="19">
        <v>0.0</v>
      </c>
      <c r="H89" s="19">
        <v>0.0</v>
      </c>
      <c r="I89" s="19">
        <v>0.0</v>
      </c>
      <c r="J89" s="19">
        <v>0.0</v>
      </c>
      <c r="K89" s="6">
        <f>C89*PV_UPDATE+D89*PV_DEPLOY+E89*PV_HELP+F89*PV_BLOG+G89*PV_PR+H89*PV_BUILDNIGHT+I89*PV_MENTOR+J89*PV_DEMO</f>
        <v>0</v>
      </c>
    </row>
    <row r="90" ht="15.75" customHeight="1">
      <c r="A90" s="7" t="s">
        <v>260</v>
      </c>
      <c r="B90" s="7" t="s">
        <v>261</v>
      </c>
      <c r="C90" s="19">
        <v>0.0</v>
      </c>
      <c r="D90" s="19">
        <v>0.0</v>
      </c>
      <c r="E90" s="19">
        <v>0.0</v>
      </c>
      <c r="F90" s="19">
        <v>0.0</v>
      </c>
      <c r="G90" s="19">
        <v>0.0</v>
      </c>
      <c r="H90" s="19">
        <v>0.0</v>
      </c>
      <c r="I90" s="19">
        <v>0.0</v>
      </c>
      <c r="J90" s="19">
        <v>0.0</v>
      </c>
      <c r="K90" s="6">
        <f>C90*PV_UPDATE+D90*PV_DEPLOY+E90*PV_HELP+F90*PV_BLOG+G90*PV_PR+H90*PV_BUILDNIGHT+I90*PV_MENTOR+J90*PV_DEMO</f>
        <v>0</v>
      </c>
    </row>
    <row r="91" ht="15.75" customHeight="1">
      <c r="A91" s="7" t="s">
        <v>262</v>
      </c>
      <c r="B91" s="7" t="s">
        <v>263</v>
      </c>
      <c r="C91" s="19">
        <v>0.0</v>
      </c>
      <c r="D91" s="19">
        <v>0.0</v>
      </c>
      <c r="E91" s="19">
        <v>0.0</v>
      </c>
      <c r="F91" s="19">
        <v>0.0</v>
      </c>
      <c r="G91" s="19">
        <v>0.0</v>
      </c>
      <c r="H91" s="19">
        <v>0.0</v>
      </c>
      <c r="I91" s="19">
        <v>0.0</v>
      </c>
      <c r="J91" s="19">
        <v>0.0</v>
      </c>
      <c r="K91" s="6">
        <f>C91*PV_UPDATE+D91*PV_DEPLOY+E91*PV_HELP+F91*PV_BLOG+G91*PV_PR+H91*PV_BUILDNIGHT+I91*PV_MENTOR+J91*PV_DEMO</f>
        <v>0</v>
      </c>
    </row>
    <row r="92" ht="15.75" customHeight="1">
      <c r="A92" s="7" t="s">
        <v>264</v>
      </c>
      <c r="B92" s="7" t="s">
        <v>265</v>
      </c>
      <c r="C92" s="19">
        <v>0.0</v>
      </c>
      <c r="D92" s="19">
        <v>0.0</v>
      </c>
      <c r="E92" s="19">
        <v>0.0</v>
      </c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6">
        <f>C92*PV_UPDATE+D92*PV_DEPLOY+E92*PV_HELP+F92*PV_BLOG+G92*PV_PR+H92*PV_BUILDNIGHT+I92*PV_MENTOR+J92*PV_DEMO</f>
        <v>0</v>
      </c>
    </row>
    <row r="93" ht="15.75" customHeight="1">
      <c r="A93" s="7" t="s">
        <v>266</v>
      </c>
      <c r="B93" s="7" t="s">
        <v>267</v>
      </c>
      <c r="C93" s="19">
        <v>0.0</v>
      </c>
      <c r="D93" s="19">
        <v>0.0</v>
      </c>
      <c r="E93" s="19">
        <v>0.0</v>
      </c>
      <c r="F93" s="19">
        <v>0.0</v>
      </c>
      <c r="G93" s="19">
        <v>0.0</v>
      </c>
      <c r="H93" s="19">
        <v>0.0</v>
      </c>
      <c r="I93" s="19">
        <v>0.0</v>
      </c>
      <c r="J93" s="19">
        <v>0.0</v>
      </c>
      <c r="K93" s="6">
        <f>C93*PV_UPDATE+D93*PV_DEPLOY+E93*PV_HELP+F93*PV_BLOG+G93*PV_PR+H93*PV_BUILDNIGHT+I93*PV_MENTOR+J93*PV_DEMO</f>
        <v>0</v>
      </c>
    </row>
    <row r="94" ht="15.75" customHeight="1">
      <c r="A94" s="7" t="s">
        <v>268</v>
      </c>
      <c r="B94" s="7" t="s">
        <v>269</v>
      </c>
      <c r="C94" s="19">
        <v>0.0</v>
      </c>
      <c r="D94" s="19">
        <v>0.0</v>
      </c>
      <c r="E94" s="19">
        <v>0.0</v>
      </c>
      <c r="F94" s="19">
        <v>0.0</v>
      </c>
      <c r="G94" s="19">
        <v>0.0</v>
      </c>
      <c r="H94" s="19">
        <v>0.0</v>
      </c>
      <c r="I94" s="19">
        <v>0.0</v>
      </c>
      <c r="J94" s="19">
        <v>0.0</v>
      </c>
      <c r="K94" s="6">
        <f>C94*PV_UPDATE+D94*PV_DEPLOY+E94*PV_HELP+F94*PV_BLOG+G94*PV_PR+H94*PV_BUILDNIGHT+I94*PV_MENTOR+J94*PV_DEMO</f>
        <v>0</v>
      </c>
    </row>
    <row r="95" ht="15.75" customHeight="1">
      <c r="A95" s="7" t="s">
        <v>270</v>
      </c>
      <c r="B95" s="7" t="s">
        <v>271</v>
      </c>
      <c r="C95" s="19">
        <v>0.0</v>
      </c>
      <c r="D95" s="19">
        <v>0.0</v>
      </c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6">
        <f>C95*PV_UPDATE+D95*PV_DEPLOY+E95*PV_HELP+F95*PV_BLOG+G95*PV_PR+H95*PV_BUILDNIGHT+I95*PV_MENTOR+J95*PV_DEMO</f>
        <v>0</v>
      </c>
    </row>
    <row r="96" ht="15.75" customHeight="1">
      <c r="A96" s="7" t="s">
        <v>272</v>
      </c>
      <c r="B96" s="7" t="s">
        <v>273</v>
      </c>
      <c r="C96" s="19">
        <v>0.0</v>
      </c>
      <c r="D96" s="19">
        <v>0.0</v>
      </c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6">
        <f>C96*PV_UPDATE+D96*PV_DEPLOY+E96*PV_HELP+F96*PV_BLOG+G96*PV_PR+H96*PV_BUILDNIGHT+I96*PV_MENTOR+J96*PV_DEMO</f>
        <v>0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16.0"/>
    <col customWidth="1" min="4" max="4" width="10.0"/>
    <col customWidth="1" min="5" max="5" width="16.0"/>
    <col customWidth="1" min="6" max="7" width="11.0"/>
    <col customWidth="1" min="8" max="8" width="16.0"/>
    <col customWidth="1" min="9" max="9" width="18.0"/>
    <col customWidth="1" min="10" max="11" width="13.0"/>
    <col customWidth="1" min="12" max="26" width="8.71"/>
  </cols>
  <sheetData>
    <row r="1">
      <c r="A1" s="3" t="s">
        <v>69</v>
      </c>
      <c r="B1" s="3" t="s">
        <v>70</v>
      </c>
      <c r="C1" s="3" t="s">
        <v>495</v>
      </c>
      <c r="D1" s="3" t="s">
        <v>496</v>
      </c>
      <c r="E1" s="3" t="s">
        <v>504</v>
      </c>
      <c r="F1" s="3" t="s">
        <v>497</v>
      </c>
      <c r="G1" s="3" t="s">
        <v>498</v>
      </c>
      <c r="H1" s="3" t="s">
        <v>499</v>
      </c>
      <c r="I1" s="3" t="s">
        <v>500</v>
      </c>
      <c r="J1" s="3" t="s">
        <v>501</v>
      </c>
      <c r="K1" s="3" t="s">
        <v>502</v>
      </c>
    </row>
    <row r="2">
      <c r="A2" s="7" t="s">
        <v>79</v>
      </c>
      <c r="B2" s="7" t="s">
        <v>80</v>
      </c>
      <c r="C2" s="18">
        <v>0.0</v>
      </c>
      <c r="D2" s="18">
        <v>0.0</v>
      </c>
      <c r="E2" s="18">
        <v>0.0</v>
      </c>
      <c r="F2" s="19">
        <v>0.0</v>
      </c>
      <c r="G2" s="19">
        <v>0.0</v>
      </c>
      <c r="H2" s="19">
        <v>0.0</v>
      </c>
      <c r="I2" s="18">
        <v>0.0</v>
      </c>
      <c r="J2" s="19">
        <v>0.0</v>
      </c>
      <c r="K2" s="6">
        <f>C2*PV_UPDATE+D2*PV_DEPLOY+E2*PV_HELP+F2*PV_BLOG+G2*PV_PR+H2*PV_BUILDNIGHT+I2*PV_MENTOR+J2*PV_DEMO</f>
        <v>0</v>
      </c>
    </row>
    <row r="3">
      <c r="A3" s="7" t="s">
        <v>82</v>
      </c>
      <c r="B3" s="7" t="s">
        <v>83</v>
      </c>
      <c r="C3" s="18">
        <v>0.0</v>
      </c>
      <c r="D3" s="18">
        <v>0.0</v>
      </c>
      <c r="E3" s="18">
        <v>0.0</v>
      </c>
      <c r="F3" s="19">
        <v>0.0</v>
      </c>
      <c r="G3" s="19">
        <v>0.0</v>
      </c>
      <c r="H3" s="19">
        <v>0.0</v>
      </c>
      <c r="I3" s="19">
        <v>0.0</v>
      </c>
      <c r="J3" s="19">
        <v>0.0</v>
      </c>
      <c r="K3" s="6">
        <f>C3*PV_UPDATE+D3*PV_DEPLOY+E3*PV_HELP+F3*PV_BLOG+G3*PV_PR+H3*PV_BUILDNIGHT+I3*PV_MENTOR+J3*PV_DEMO</f>
        <v>0</v>
      </c>
    </row>
    <row r="4">
      <c r="A4" s="7" t="s">
        <v>84</v>
      </c>
      <c r="B4" s="7" t="s">
        <v>85</v>
      </c>
      <c r="C4" s="18">
        <v>0.0</v>
      </c>
      <c r="D4" s="18">
        <v>0.0</v>
      </c>
      <c r="E4" s="18">
        <v>0.0</v>
      </c>
      <c r="F4" s="19">
        <v>0.0</v>
      </c>
      <c r="G4" s="19">
        <v>0.0</v>
      </c>
      <c r="H4" s="19">
        <v>0.0</v>
      </c>
      <c r="I4" s="18">
        <v>0.0</v>
      </c>
      <c r="J4" s="19">
        <v>0.0</v>
      </c>
      <c r="K4" s="6">
        <f>C4*PV_UPDATE+D4*PV_DEPLOY+E4*PV_HELP+F4*PV_BLOG+G4*PV_PR+H4*PV_BUILDNIGHT+I4*PV_MENTOR+J4*PV_DEMO</f>
        <v>0</v>
      </c>
    </row>
    <row r="5">
      <c r="A5" s="7" t="s">
        <v>87</v>
      </c>
      <c r="B5" s="7" t="s">
        <v>88</v>
      </c>
      <c r="C5" s="18">
        <v>0.0</v>
      </c>
      <c r="D5" s="18">
        <v>0.0</v>
      </c>
      <c r="E5" s="19">
        <v>0.0</v>
      </c>
      <c r="F5" s="19">
        <v>0.0</v>
      </c>
      <c r="G5" s="19">
        <v>0.0</v>
      </c>
      <c r="H5" s="18">
        <v>0.0</v>
      </c>
      <c r="I5" s="19">
        <v>0.0</v>
      </c>
      <c r="J5" s="19">
        <v>0.0</v>
      </c>
      <c r="K5" s="6">
        <f>C5*PV_UPDATE+D5*PV_DEPLOY+E5*PV_HELP+F5*PV_BLOG+G5*PV_PR+H5*PV_BUILDNIGHT+I5*PV_MENTOR+J5*PV_DEMO</f>
        <v>0</v>
      </c>
    </row>
    <row r="6">
      <c r="A6" s="7" t="s">
        <v>89</v>
      </c>
      <c r="B6" s="7" t="s">
        <v>90</v>
      </c>
      <c r="C6" s="18">
        <v>0.0</v>
      </c>
      <c r="D6" s="18">
        <v>0.0</v>
      </c>
      <c r="E6" s="18">
        <v>0.0</v>
      </c>
      <c r="F6" s="19">
        <v>0.0</v>
      </c>
      <c r="G6" s="19">
        <v>0.0</v>
      </c>
      <c r="H6" s="18">
        <v>0.0</v>
      </c>
      <c r="I6" s="18">
        <v>0.0</v>
      </c>
      <c r="J6" s="19">
        <v>0.0</v>
      </c>
      <c r="K6" s="6">
        <f>C6*PV_UPDATE+D6*PV_DEPLOY+E6*PV_HELP+F6*PV_BLOG+G6*PV_PR+H6*PV_BUILDNIGHT+I6*PV_MENTOR+J6*PV_DEMO</f>
        <v>0</v>
      </c>
    </row>
    <row r="7">
      <c r="A7" s="7" t="s">
        <v>91</v>
      </c>
      <c r="B7" s="7" t="s">
        <v>92</v>
      </c>
      <c r="C7" s="18">
        <v>0.0</v>
      </c>
      <c r="D7" s="18">
        <v>0.0</v>
      </c>
      <c r="E7" s="19">
        <v>0.0</v>
      </c>
      <c r="F7" s="19">
        <v>0.0</v>
      </c>
      <c r="G7" s="19">
        <v>0.0</v>
      </c>
      <c r="H7" s="18">
        <v>0.0</v>
      </c>
      <c r="I7" s="19">
        <v>0.0</v>
      </c>
      <c r="J7" s="19">
        <v>0.0</v>
      </c>
      <c r="K7" s="6">
        <f>C7*PV_UPDATE+D7*PV_DEPLOY+E7*PV_HELP+F7*PV_BLOG+G7*PV_PR+H7*PV_BUILDNIGHT+I7*PV_MENTOR+J7*PV_DEMO</f>
        <v>0</v>
      </c>
    </row>
    <row r="8">
      <c r="A8" s="7" t="s">
        <v>93</v>
      </c>
      <c r="B8" s="7" t="s">
        <v>94</v>
      </c>
      <c r="C8" s="18">
        <v>0.0</v>
      </c>
      <c r="D8" s="18">
        <v>0.0</v>
      </c>
      <c r="E8" s="18">
        <v>0.0</v>
      </c>
      <c r="F8" s="19">
        <v>0.0</v>
      </c>
      <c r="G8" s="18">
        <v>0.0</v>
      </c>
      <c r="H8" s="18">
        <v>0.0</v>
      </c>
      <c r="I8" s="18">
        <v>0.0</v>
      </c>
      <c r="J8" s="19">
        <v>0.0</v>
      </c>
      <c r="K8" s="6">
        <f>C8*PV_UPDATE+D8*PV_DEPLOY+E8*PV_HELP+F8*PV_BLOG+G8*PV_PR+H8*PV_BUILDNIGHT+I8*PV_MENTOR+J8*PV_DEMO</f>
        <v>0</v>
      </c>
    </row>
    <row r="9">
      <c r="A9" s="7" t="s">
        <v>96</v>
      </c>
      <c r="B9" s="7" t="s">
        <v>97</v>
      </c>
      <c r="C9" s="18">
        <v>0.0</v>
      </c>
      <c r="D9" s="18">
        <v>0.0</v>
      </c>
      <c r="E9" s="19">
        <v>0.0</v>
      </c>
      <c r="F9" s="19">
        <v>0.0</v>
      </c>
      <c r="G9" s="19">
        <v>0.0</v>
      </c>
      <c r="H9" s="19">
        <v>0.0</v>
      </c>
      <c r="I9" s="19">
        <v>0.0</v>
      </c>
      <c r="J9" s="19">
        <v>0.0</v>
      </c>
      <c r="K9" s="6">
        <f>C9*PV_UPDATE+D9*PV_DEPLOY+E9*PV_HELP+F9*PV_BLOG+G9*PV_PR+H9*PV_BUILDNIGHT+I9*PV_MENTOR+J9*PV_DEMO</f>
        <v>0</v>
      </c>
    </row>
    <row r="10">
      <c r="A10" s="7" t="s">
        <v>98</v>
      </c>
      <c r="B10" s="7" t="s">
        <v>99</v>
      </c>
      <c r="C10" s="18">
        <v>0.0</v>
      </c>
      <c r="D10" s="18">
        <v>0.0</v>
      </c>
      <c r="E10" s="18">
        <v>0.0</v>
      </c>
      <c r="F10" s="18">
        <v>0.0</v>
      </c>
      <c r="G10" s="19">
        <v>0.0</v>
      </c>
      <c r="H10" s="18">
        <v>0.0</v>
      </c>
      <c r="I10" s="18">
        <v>0.0</v>
      </c>
      <c r="J10" s="19">
        <v>0.0</v>
      </c>
      <c r="K10" s="6">
        <f>C10*PV_UPDATE+D10*PV_DEPLOY+E10*PV_HELP+F10*PV_BLOG+G10*PV_PR+H10*PV_BUILDNIGHT+I10*PV_MENTOR+J10*PV_DEMO</f>
        <v>0</v>
      </c>
    </row>
    <row r="11">
      <c r="A11" s="7" t="s">
        <v>100</v>
      </c>
      <c r="B11" s="7" t="s">
        <v>101</v>
      </c>
      <c r="C11" s="18">
        <v>0.0</v>
      </c>
      <c r="D11" s="18">
        <v>0.0</v>
      </c>
      <c r="E11" s="19">
        <v>0.0</v>
      </c>
      <c r="F11" s="18">
        <v>0.0</v>
      </c>
      <c r="G11" s="19">
        <v>0.0</v>
      </c>
      <c r="H11" s="18">
        <v>0.0</v>
      </c>
      <c r="I11" s="18">
        <v>0.0</v>
      </c>
      <c r="J11" s="19">
        <v>0.0</v>
      </c>
      <c r="K11" s="6">
        <f>C11*PV_UPDATE+D11*PV_DEPLOY+E11*PV_HELP+F11*PV_BLOG+G11*PV_PR+H11*PV_BUILDNIGHT+I11*PV_MENTOR+J11*PV_DEMO</f>
        <v>0</v>
      </c>
    </row>
    <row r="12">
      <c r="A12" s="7" t="s">
        <v>102</v>
      </c>
      <c r="B12" s="7" t="s">
        <v>103</v>
      </c>
      <c r="C12" s="18">
        <v>0.0</v>
      </c>
      <c r="D12" s="18">
        <v>0.0</v>
      </c>
      <c r="E12" s="19">
        <v>0.0</v>
      </c>
      <c r="F12" s="19">
        <v>0.0</v>
      </c>
      <c r="G12" s="18">
        <v>0.0</v>
      </c>
      <c r="H12" s="18">
        <v>0.0</v>
      </c>
      <c r="I12" s="18">
        <v>0.0</v>
      </c>
      <c r="J12" s="19">
        <v>0.0</v>
      </c>
      <c r="K12" s="6">
        <f>C12*PV_UPDATE+D12*PV_DEPLOY+E12*PV_HELP+F12*PV_BLOG+G12*PV_PR+H12*PV_BUILDNIGHT+I12*PV_MENTOR+J12*PV_DEMO</f>
        <v>0</v>
      </c>
    </row>
    <row r="13">
      <c r="A13" s="7" t="s">
        <v>104</v>
      </c>
      <c r="B13" s="7" t="s">
        <v>105</v>
      </c>
      <c r="C13" s="18">
        <v>0.0</v>
      </c>
      <c r="D13" s="18">
        <v>0.0</v>
      </c>
      <c r="E13" s="19">
        <v>0.0</v>
      </c>
      <c r="F13" s="19">
        <v>0.0</v>
      </c>
      <c r="G13" s="19">
        <v>0.0</v>
      </c>
      <c r="H13" s="19">
        <v>0.0</v>
      </c>
      <c r="I13" s="19">
        <v>0.0</v>
      </c>
      <c r="J13" s="19">
        <v>0.0</v>
      </c>
      <c r="K13" s="6">
        <f>C13*PV_UPDATE+D13*PV_DEPLOY+E13*PV_HELP+F13*PV_BLOG+G13*PV_PR+H13*PV_BUILDNIGHT+I13*PV_MENTOR+J13*PV_DEMO</f>
        <v>0</v>
      </c>
    </row>
    <row r="14">
      <c r="A14" s="7" t="s">
        <v>106</v>
      </c>
      <c r="B14" s="7" t="s">
        <v>107</v>
      </c>
      <c r="C14" s="18">
        <v>0.0</v>
      </c>
      <c r="D14" s="18">
        <v>0.0</v>
      </c>
      <c r="E14" s="19">
        <v>0.0</v>
      </c>
      <c r="F14" s="18">
        <v>0.0</v>
      </c>
      <c r="G14" s="18">
        <v>0.0</v>
      </c>
      <c r="H14" s="18">
        <v>0.0</v>
      </c>
      <c r="I14" s="19">
        <v>0.0</v>
      </c>
      <c r="J14" s="19">
        <v>0.0</v>
      </c>
      <c r="K14" s="6">
        <f>C14*PV_UPDATE+D14*PV_DEPLOY+E14*PV_HELP+F14*PV_BLOG+G14*PV_PR+H14*PV_BUILDNIGHT+I14*PV_MENTOR+J14*PV_DEMO</f>
        <v>0</v>
      </c>
    </row>
    <row r="15">
      <c r="A15" s="7" t="s">
        <v>108</v>
      </c>
      <c r="B15" s="7" t="s">
        <v>109</v>
      </c>
      <c r="C15" s="18">
        <v>0.0</v>
      </c>
      <c r="D15" s="18">
        <v>0.0</v>
      </c>
      <c r="E15" s="19">
        <v>0.0</v>
      </c>
      <c r="F15" s="18">
        <v>0.0</v>
      </c>
      <c r="G15" s="19">
        <v>0.0</v>
      </c>
      <c r="H15" s="18">
        <v>0.0</v>
      </c>
      <c r="I15" s="18">
        <v>0.0</v>
      </c>
      <c r="J15" s="19">
        <v>0.0</v>
      </c>
      <c r="K15" s="6">
        <f>C15*PV_UPDATE+D15*PV_DEPLOY+E15*PV_HELP+F15*PV_BLOG+G15*PV_PR+H15*PV_BUILDNIGHT+I15*PV_MENTOR+J15*PV_DEMO</f>
        <v>0</v>
      </c>
    </row>
    <row r="16">
      <c r="A16" s="7" t="s">
        <v>110</v>
      </c>
      <c r="B16" s="7" t="s">
        <v>111</v>
      </c>
      <c r="C16" s="18">
        <v>0.0</v>
      </c>
      <c r="D16" s="18">
        <v>0.0</v>
      </c>
      <c r="E16" s="19">
        <v>0.0</v>
      </c>
      <c r="F16" s="19">
        <v>0.0</v>
      </c>
      <c r="G16" s="18">
        <v>0.0</v>
      </c>
      <c r="H16" s="18">
        <v>0.0</v>
      </c>
      <c r="I16" s="19">
        <v>0.0</v>
      </c>
      <c r="J16" s="19">
        <v>0.0</v>
      </c>
      <c r="K16" s="6">
        <f>C16*PV_UPDATE+D16*PV_DEPLOY+E16*PV_HELP+F16*PV_BLOG+G16*PV_PR+H16*PV_BUILDNIGHT+I16*PV_MENTOR+J16*PV_DEMO</f>
        <v>0</v>
      </c>
    </row>
    <row r="17">
      <c r="A17" s="7" t="s">
        <v>112</v>
      </c>
      <c r="B17" s="7" t="s">
        <v>113</v>
      </c>
      <c r="C17" s="18">
        <v>0.0</v>
      </c>
      <c r="D17" s="18">
        <v>0.0</v>
      </c>
      <c r="E17" s="18">
        <v>0.0</v>
      </c>
      <c r="F17" s="19">
        <v>0.0</v>
      </c>
      <c r="G17" s="18">
        <v>0.0</v>
      </c>
      <c r="H17" s="18">
        <v>0.0</v>
      </c>
      <c r="I17" s="18">
        <v>0.0</v>
      </c>
      <c r="J17" s="19">
        <v>0.0</v>
      </c>
      <c r="K17" s="6">
        <f>C17*PV_UPDATE+D17*PV_DEPLOY+E17*PV_HELP+F17*PV_BLOG+G17*PV_PR+H17*PV_BUILDNIGHT+I17*PV_MENTOR+J17*PV_DEMO</f>
        <v>0</v>
      </c>
    </row>
    <row r="18">
      <c r="A18" s="7" t="s">
        <v>114</v>
      </c>
      <c r="B18" s="7" t="s">
        <v>115</v>
      </c>
      <c r="C18" s="18">
        <v>0.0</v>
      </c>
      <c r="D18" s="18">
        <v>0.0</v>
      </c>
      <c r="E18" s="19">
        <v>0.0</v>
      </c>
      <c r="F18" s="19">
        <v>0.0</v>
      </c>
      <c r="G18" s="19">
        <v>0.0</v>
      </c>
      <c r="H18" s="19">
        <v>0.0</v>
      </c>
      <c r="I18" s="18">
        <v>0.0</v>
      </c>
      <c r="J18" s="19">
        <v>0.0</v>
      </c>
      <c r="K18" s="6">
        <f>C18*PV_UPDATE+D18*PV_DEPLOY+E18*PV_HELP+F18*PV_BLOG+G18*PV_PR+H18*PV_BUILDNIGHT+I18*PV_MENTOR+J18*PV_DEMO</f>
        <v>0</v>
      </c>
    </row>
    <row r="19">
      <c r="A19" s="7" t="s">
        <v>116</v>
      </c>
      <c r="B19" s="7" t="s">
        <v>117</v>
      </c>
      <c r="C19" s="18">
        <v>0.0</v>
      </c>
      <c r="D19" s="18">
        <v>0.0</v>
      </c>
      <c r="E19" s="19">
        <v>0.0</v>
      </c>
      <c r="F19" s="19">
        <v>0.0</v>
      </c>
      <c r="G19" s="19">
        <v>0.0</v>
      </c>
      <c r="H19" s="19">
        <v>0.0</v>
      </c>
      <c r="I19" s="18">
        <v>0.0</v>
      </c>
      <c r="J19" s="19">
        <v>0.0</v>
      </c>
      <c r="K19" s="6">
        <f>C19*PV_UPDATE+D19*PV_DEPLOY+E19*PV_HELP+F19*PV_BLOG+G19*PV_PR+H19*PV_BUILDNIGHT+I19*PV_MENTOR+J19*PV_DEMO</f>
        <v>0</v>
      </c>
    </row>
    <row r="20">
      <c r="A20" s="7" t="s">
        <v>118</v>
      </c>
      <c r="B20" s="7" t="s">
        <v>119</v>
      </c>
      <c r="C20" s="18">
        <v>0.0</v>
      </c>
      <c r="D20" s="18">
        <v>0.0</v>
      </c>
      <c r="E20" s="19">
        <v>0.0</v>
      </c>
      <c r="F20" s="19">
        <v>0.0</v>
      </c>
      <c r="G20" s="19">
        <v>0.0</v>
      </c>
      <c r="H20" s="18">
        <v>0.0</v>
      </c>
      <c r="I20" s="18">
        <v>0.0</v>
      </c>
      <c r="J20" s="19">
        <v>0.0</v>
      </c>
      <c r="K20" s="6">
        <f>C20*PV_UPDATE+D20*PV_DEPLOY+E20*PV_HELP+F20*PV_BLOG+G20*PV_PR+H20*PV_BUILDNIGHT+I20*PV_MENTOR+J20*PV_DEMO</f>
        <v>0</v>
      </c>
    </row>
    <row r="21" ht="15.75" customHeight="1">
      <c r="A21" s="7" t="s">
        <v>120</v>
      </c>
      <c r="B21" s="7" t="s">
        <v>121</v>
      </c>
      <c r="C21" s="18">
        <v>0.0</v>
      </c>
      <c r="D21" s="18">
        <v>0.0</v>
      </c>
      <c r="E21" s="18">
        <v>0.0</v>
      </c>
      <c r="F21" s="18">
        <v>0.0</v>
      </c>
      <c r="G21" s="18">
        <v>0.0</v>
      </c>
      <c r="H21" s="18">
        <v>0.0</v>
      </c>
      <c r="I21" s="19">
        <v>0.0</v>
      </c>
      <c r="J21" s="19">
        <v>0.0</v>
      </c>
      <c r="K21" s="6">
        <f>C21*PV_UPDATE+D21*PV_DEPLOY+E21*PV_HELP+F21*PV_BLOG+G21*PV_PR+H21*PV_BUILDNIGHT+I21*PV_MENTOR+J21*PV_DEMO</f>
        <v>0</v>
      </c>
    </row>
    <row r="22" ht="15.75" customHeight="1">
      <c r="A22" s="7" t="s">
        <v>122</v>
      </c>
      <c r="B22" s="7" t="s">
        <v>123</v>
      </c>
      <c r="C22" s="18">
        <v>0.0</v>
      </c>
      <c r="D22" s="18">
        <v>0.0</v>
      </c>
      <c r="E22" s="19">
        <v>0.0</v>
      </c>
      <c r="F22" s="18">
        <v>0.0</v>
      </c>
      <c r="G22" s="19">
        <v>0.0</v>
      </c>
      <c r="H22" s="18">
        <v>0.0</v>
      </c>
      <c r="I22" s="18">
        <v>0.0</v>
      </c>
      <c r="J22" s="19">
        <v>0.0</v>
      </c>
      <c r="K22" s="6">
        <f>C22*PV_UPDATE+D22*PV_DEPLOY+E22*PV_HELP+F22*PV_BLOG+G22*PV_PR+H22*PV_BUILDNIGHT+I22*PV_MENTOR+J22*PV_DEMO</f>
        <v>0</v>
      </c>
    </row>
    <row r="23" ht="15.75" customHeight="1">
      <c r="A23" s="7" t="s">
        <v>124</v>
      </c>
      <c r="B23" s="7" t="s">
        <v>125</v>
      </c>
      <c r="C23" s="18">
        <v>0.0</v>
      </c>
      <c r="D23" s="18">
        <v>0.0</v>
      </c>
      <c r="E23" s="18">
        <v>0.0</v>
      </c>
      <c r="F23" s="19">
        <v>0.0</v>
      </c>
      <c r="G23" s="18">
        <v>0.0</v>
      </c>
      <c r="H23" s="19">
        <v>0.0</v>
      </c>
      <c r="I23" s="19">
        <v>0.0</v>
      </c>
      <c r="J23" s="19">
        <v>0.0</v>
      </c>
      <c r="K23" s="6">
        <f>C23*PV_UPDATE+D23*PV_DEPLOY+E23*PV_HELP+F23*PV_BLOG+G23*PV_PR+H23*PV_BUILDNIGHT+I23*PV_MENTOR+J23*PV_DEMO</f>
        <v>0</v>
      </c>
    </row>
    <row r="24" ht="15.75" customHeight="1">
      <c r="A24" s="7" t="s">
        <v>126</v>
      </c>
      <c r="B24" s="7" t="s">
        <v>127</v>
      </c>
      <c r="C24" s="18">
        <v>0.0</v>
      </c>
      <c r="D24" s="18">
        <v>0.0</v>
      </c>
      <c r="E24" s="19">
        <v>0.0</v>
      </c>
      <c r="F24" s="19">
        <v>0.0</v>
      </c>
      <c r="G24" s="19">
        <v>0.0</v>
      </c>
      <c r="H24" s="18">
        <v>0.0</v>
      </c>
      <c r="I24" s="19">
        <v>0.0</v>
      </c>
      <c r="J24" s="19">
        <v>0.0</v>
      </c>
      <c r="K24" s="6">
        <f>C24*PV_UPDATE+D24*PV_DEPLOY+E24*PV_HELP+F24*PV_BLOG+G24*PV_PR+H24*PV_BUILDNIGHT+I24*PV_MENTOR+J24*PV_DEMO</f>
        <v>0</v>
      </c>
    </row>
    <row r="25" ht="15.75" customHeight="1">
      <c r="A25" s="7" t="s">
        <v>128</v>
      </c>
      <c r="B25" s="7" t="s">
        <v>129</v>
      </c>
      <c r="C25" s="18">
        <v>0.0</v>
      </c>
      <c r="D25" s="18">
        <v>0.0</v>
      </c>
      <c r="E25" s="19">
        <v>0.0</v>
      </c>
      <c r="F25" s="19">
        <v>0.0</v>
      </c>
      <c r="G25" s="18">
        <v>0.0</v>
      </c>
      <c r="H25" s="18">
        <v>0.0</v>
      </c>
      <c r="I25" s="18">
        <v>0.0</v>
      </c>
      <c r="J25" s="19">
        <v>0.0</v>
      </c>
      <c r="K25" s="6">
        <f>C25*PV_UPDATE+D25*PV_DEPLOY+E25*PV_HELP+F25*PV_BLOG+G25*PV_PR+H25*PV_BUILDNIGHT+I25*PV_MENTOR+J25*PV_DEMO</f>
        <v>0</v>
      </c>
    </row>
    <row r="26" ht="15.75" customHeight="1">
      <c r="A26" s="7" t="s">
        <v>130</v>
      </c>
      <c r="B26" s="7" t="s">
        <v>131</v>
      </c>
      <c r="C26" s="18">
        <v>0.0</v>
      </c>
      <c r="D26" s="18">
        <v>0.0</v>
      </c>
      <c r="E26" s="19">
        <v>0.0</v>
      </c>
      <c r="F26" s="18">
        <v>0.0</v>
      </c>
      <c r="G26" s="18">
        <v>0.0</v>
      </c>
      <c r="H26" s="18">
        <v>0.0</v>
      </c>
      <c r="I26" s="18">
        <v>0.0</v>
      </c>
      <c r="J26" s="19">
        <v>0.0</v>
      </c>
      <c r="K26" s="6">
        <f>C26*PV_UPDATE+D26*PV_DEPLOY+E26*PV_HELP+F26*PV_BLOG+G26*PV_PR+H26*PV_BUILDNIGHT+I26*PV_MENTOR+J26*PV_DEMO</f>
        <v>0</v>
      </c>
    </row>
    <row r="27" ht="15.75" customHeight="1">
      <c r="A27" s="7" t="s">
        <v>132</v>
      </c>
      <c r="B27" s="7" t="s">
        <v>133</v>
      </c>
      <c r="C27" s="18">
        <v>0.0</v>
      </c>
      <c r="D27" s="18">
        <v>0.0</v>
      </c>
      <c r="E27" s="19">
        <v>0.0</v>
      </c>
      <c r="F27" s="18">
        <v>0.0</v>
      </c>
      <c r="G27" s="19">
        <v>0.0</v>
      </c>
      <c r="H27" s="19">
        <v>0.0</v>
      </c>
      <c r="I27" s="18">
        <v>0.0</v>
      </c>
      <c r="J27" s="19">
        <v>0.0</v>
      </c>
      <c r="K27" s="6">
        <f>C27*PV_UPDATE+D27*PV_DEPLOY+E27*PV_HELP+F27*PV_BLOG+G27*PV_PR+H27*PV_BUILDNIGHT+I27*PV_MENTOR+J27*PV_DEMO</f>
        <v>0</v>
      </c>
    </row>
    <row r="28" ht="15.75" customHeight="1">
      <c r="A28" s="7" t="s">
        <v>134</v>
      </c>
      <c r="B28" s="7" t="s">
        <v>135</v>
      </c>
      <c r="C28" s="18">
        <v>0.0</v>
      </c>
      <c r="D28" s="18">
        <v>0.0</v>
      </c>
      <c r="E28" s="18">
        <v>0.0</v>
      </c>
      <c r="F28" s="18">
        <v>0.0</v>
      </c>
      <c r="G28" s="19">
        <v>0.0</v>
      </c>
      <c r="H28" s="19">
        <v>0.0</v>
      </c>
      <c r="I28" s="19">
        <v>0.0</v>
      </c>
      <c r="J28" s="19">
        <v>0.0</v>
      </c>
      <c r="K28" s="6">
        <f>C28*PV_UPDATE+D28*PV_DEPLOY+E28*PV_HELP+F28*PV_BLOG+G28*PV_PR+H28*PV_BUILDNIGHT+I28*PV_MENTOR+J28*PV_DEMO</f>
        <v>0</v>
      </c>
    </row>
    <row r="29" ht="15.75" customHeight="1">
      <c r="A29" s="7" t="s">
        <v>136</v>
      </c>
      <c r="B29" s="7" t="s">
        <v>137</v>
      </c>
      <c r="C29" s="18">
        <v>0.0</v>
      </c>
      <c r="D29" s="18">
        <v>0.0</v>
      </c>
      <c r="E29" s="19">
        <v>0.0</v>
      </c>
      <c r="F29" s="19">
        <v>0.0</v>
      </c>
      <c r="G29" s="18">
        <v>0.0</v>
      </c>
      <c r="H29" s="18">
        <v>0.0</v>
      </c>
      <c r="I29" s="18">
        <v>0.0</v>
      </c>
      <c r="J29" s="19">
        <v>0.0</v>
      </c>
      <c r="K29" s="6">
        <f>C29*PV_UPDATE+D29*PV_DEPLOY+E29*PV_HELP+F29*PV_BLOG+G29*PV_PR+H29*PV_BUILDNIGHT+I29*PV_MENTOR+J29*PV_DEMO</f>
        <v>0</v>
      </c>
    </row>
    <row r="30" ht="15.75" customHeight="1">
      <c r="A30" s="7" t="s">
        <v>138</v>
      </c>
      <c r="B30" s="7" t="s">
        <v>139</v>
      </c>
      <c r="C30" s="18">
        <v>0.0</v>
      </c>
      <c r="D30" s="18">
        <v>0.0</v>
      </c>
      <c r="E30" s="18">
        <v>0.0</v>
      </c>
      <c r="F30" s="19">
        <v>0.0</v>
      </c>
      <c r="G30" s="19">
        <v>0.0</v>
      </c>
      <c r="H30" s="18">
        <v>0.0</v>
      </c>
      <c r="I30" s="19">
        <v>0.0</v>
      </c>
      <c r="J30" s="19">
        <v>0.0</v>
      </c>
      <c r="K30" s="6">
        <f>C30*PV_UPDATE+D30*PV_DEPLOY+E30*PV_HELP+F30*PV_BLOG+G30*PV_PR+H30*PV_BUILDNIGHT+I30*PV_MENTOR+J30*PV_DEMO</f>
        <v>0</v>
      </c>
    </row>
    <row r="31" ht="15.75" customHeight="1">
      <c r="A31" s="7" t="s">
        <v>140</v>
      </c>
      <c r="B31" s="7" t="s">
        <v>141</v>
      </c>
      <c r="C31" s="18">
        <v>0.0</v>
      </c>
      <c r="D31" s="18">
        <v>0.0</v>
      </c>
      <c r="E31" s="19">
        <v>0.0</v>
      </c>
      <c r="F31" s="19">
        <v>0.0</v>
      </c>
      <c r="G31" s="19">
        <v>0.0</v>
      </c>
      <c r="H31" s="18">
        <v>0.0</v>
      </c>
      <c r="I31" s="18">
        <v>0.0</v>
      </c>
      <c r="J31" s="19">
        <v>0.0</v>
      </c>
      <c r="K31" s="6">
        <f>C31*PV_UPDATE+D31*PV_DEPLOY+E31*PV_HELP+F31*PV_BLOG+G31*PV_PR+H31*PV_BUILDNIGHT+I31*PV_MENTOR+J31*PV_DEMO</f>
        <v>0</v>
      </c>
    </row>
    <row r="32" ht="15.75" customHeight="1">
      <c r="A32" s="7" t="s">
        <v>142</v>
      </c>
      <c r="B32" s="7" t="s">
        <v>143</v>
      </c>
      <c r="C32" s="18">
        <v>0.0</v>
      </c>
      <c r="D32" s="18">
        <v>0.0</v>
      </c>
      <c r="E32" s="19">
        <v>0.0</v>
      </c>
      <c r="F32" s="18">
        <v>0.0</v>
      </c>
      <c r="G32" s="19">
        <v>0.0</v>
      </c>
      <c r="H32" s="18">
        <v>0.0</v>
      </c>
      <c r="I32" s="18">
        <v>0.0</v>
      </c>
      <c r="J32" s="19">
        <v>0.0</v>
      </c>
      <c r="K32" s="6">
        <f>C32*PV_UPDATE+D32*PV_DEPLOY+E32*PV_HELP+F32*PV_BLOG+G32*PV_PR+H32*PV_BUILDNIGHT+I32*PV_MENTOR+J32*PV_DEMO</f>
        <v>0</v>
      </c>
    </row>
    <row r="33" ht="15.75" customHeight="1">
      <c r="A33" s="7" t="s">
        <v>144</v>
      </c>
      <c r="B33" s="7" t="s">
        <v>145</v>
      </c>
      <c r="C33" s="18">
        <v>0.0</v>
      </c>
      <c r="D33" s="18">
        <v>0.0</v>
      </c>
      <c r="E33" s="19">
        <v>0.0</v>
      </c>
      <c r="F33" s="18">
        <v>0.0</v>
      </c>
      <c r="G33" s="18">
        <v>0.0</v>
      </c>
      <c r="H33" s="18">
        <v>0.0</v>
      </c>
      <c r="I33" s="19">
        <v>0.0</v>
      </c>
      <c r="J33" s="19">
        <v>0.0</v>
      </c>
      <c r="K33" s="6">
        <f>C33*PV_UPDATE+D33*PV_DEPLOY+E33*PV_HELP+F33*PV_BLOG+G33*PV_PR+H33*PV_BUILDNIGHT+I33*PV_MENTOR+J33*PV_DEMO</f>
        <v>0</v>
      </c>
    </row>
    <row r="34" ht="15.75" customHeight="1">
      <c r="A34" s="7" t="s">
        <v>146</v>
      </c>
      <c r="B34" s="7" t="s">
        <v>147</v>
      </c>
      <c r="C34" s="18">
        <v>0.0</v>
      </c>
      <c r="D34" s="18">
        <v>0.0</v>
      </c>
      <c r="E34" s="18">
        <v>0.0</v>
      </c>
      <c r="F34" s="18">
        <v>0.0</v>
      </c>
      <c r="G34" s="19">
        <v>0.0</v>
      </c>
      <c r="H34" s="18">
        <v>0.0</v>
      </c>
      <c r="I34" s="18">
        <v>0.0</v>
      </c>
      <c r="J34" s="19">
        <v>0.0</v>
      </c>
      <c r="K34" s="6">
        <f>C34*PV_UPDATE+D34*PV_DEPLOY+E34*PV_HELP+F34*PV_BLOG+G34*PV_PR+H34*PV_BUILDNIGHT+I34*PV_MENTOR+J34*PV_DEMO</f>
        <v>0</v>
      </c>
    </row>
    <row r="35" ht="15.75" customHeight="1">
      <c r="A35" s="7" t="s">
        <v>148</v>
      </c>
      <c r="B35" s="7" t="s">
        <v>149</v>
      </c>
      <c r="C35" s="18">
        <v>0.0</v>
      </c>
      <c r="D35" s="18">
        <v>0.0</v>
      </c>
      <c r="E35" s="19">
        <v>0.0</v>
      </c>
      <c r="F35" s="19">
        <v>0.0</v>
      </c>
      <c r="G35" s="19">
        <v>0.0</v>
      </c>
      <c r="H35" s="18">
        <v>0.0</v>
      </c>
      <c r="I35" s="19">
        <v>0.0</v>
      </c>
      <c r="J35" s="19">
        <v>0.0</v>
      </c>
      <c r="K35" s="6">
        <f>C35*PV_UPDATE+D35*PV_DEPLOY+E35*PV_HELP+F35*PV_BLOG+G35*PV_PR+H35*PV_BUILDNIGHT+I35*PV_MENTOR+J35*PV_DEMO</f>
        <v>0</v>
      </c>
    </row>
    <row r="36" ht="15.75" customHeight="1">
      <c r="A36" s="7" t="s">
        <v>150</v>
      </c>
      <c r="B36" s="7" t="s">
        <v>151</v>
      </c>
      <c r="C36" s="18">
        <v>0.0</v>
      </c>
      <c r="D36" s="18">
        <v>0.0</v>
      </c>
      <c r="E36" s="18">
        <v>0.0</v>
      </c>
      <c r="F36" s="19">
        <v>0.0</v>
      </c>
      <c r="G36" s="19">
        <v>0.0</v>
      </c>
      <c r="H36" s="18">
        <v>0.0</v>
      </c>
      <c r="I36" s="19">
        <v>0.0</v>
      </c>
      <c r="J36" s="19">
        <v>0.0</v>
      </c>
      <c r="K36" s="6">
        <f>C36*PV_UPDATE+D36*PV_DEPLOY+E36*PV_HELP+F36*PV_BLOG+G36*PV_PR+H36*PV_BUILDNIGHT+I36*PV_MENTOR+J36*PV_DEMO</f>
        <v>0</v>
      </c>
    </row>
    <row r="37" ht="15.75" customHeight="1">
      <c r="A37" s="7" t="s">
        <v>152</v>
      </c>
      <c r="B37" s="7" t="s">
        <v>153</v>
      </c>
      <c r="C37" s="18">
        <v>0.0</v>
      </c>
      <c r="D37" s="18">
        <v>0.0</v>
      </c>
      <c r="E37" s="18">
        <v>0.0</v>
      </c>
      <c r="F37" s="18">
        <v>0.0</v>
      </c>
      <c r="G37" s="18">
        <v>0.0</v>
      </c>
      <c r="H37" s="18">
        <v>0.0</v>
      </c>
      <c r="I37" s="18">
        <v>0.0</v>
      </c>
      <c r="J37" s="19">
        <v>0.0</v>
      </c>
      <c r="K37" s="6">
        <f>C37*PV_UPDATE+D37*PV_DEPLOY+E37*PV_HELP+F37*PV_BLOG+G37*PV_PR+H37*PV_BUILDNIGHT+I37*PV_MENTOR+J37*PV_DEMO</f>
        <v>0</v>
      </c>
    </row>
    <row r="38" ht="15.75" customHeight="1">
      <c r="A38" s="7" t="s">
        <v>154</v>
      </c>
      <c r="B38" s="7" t="s">
        <v>155</v>
      </c>
      <c r="C38" s="18">
        <v>0.0</v>
      </c>
      <c r="D38" s="18">
        <v>0.0</v>
      </c>
      <c r="E38" s="18">
        <v>0.0</v>
      </c>
      <c r="F38" s="19">
        <v>0.0</v>
      </c>
      <c r="G38" s="19">
        <v>0.0</v>
      </c>
      <c r="H38" s="19">
        <v>0.0</v>
      </c>
      <c r="I38" s="18">
        <v>0.0</v>
      </c>
      <c r="J38" s="19">
        <v>0.0</v>
      </c>
      <c r="K38" s="6">
        <f>C38*PV_UPDATE+D38*PV_DEPLOY+E38*PV_HELP+F38*PV_BLOG+G38*PV_PR+H38*PV_BUILDNIGHT+I38*PV_MENTOR+J38*PV_DEMO</f>
        <v>0</v>
      </c>
    </row>
    <row r="39" ht="15.75" customHeight="1">
      <c r="A39" s="7" t="s">
        <v>156</v>
      </c>
      <c r="B39" s="7" t="s">
        <v>157</v>
      </c>
      <c r="C39" s="18">
        <v>0.0</v>
      </c>
      <c r="D39" s="18">
        <v>0.0</v>
      </c>
      <c r="E39" s="19">
        <v>0.0</v>
      </c>
      <c r="F39" s="19">
        <v>0.0</v>
      </c>
      <c r="G39" s="19">
        <v>0.0</v>
      </c>
      <c r="H39" s="18">
        <v>0.0</v>
      </c>
      <c r="I39" s="19">
        <v>0.0</v>
      </c>
      <c r="J39" s="19">
        <v>0.0</v>
      </c>
      <c r="K39" s="6">
        <f>C39*PV_UPDATE+D39*PV_DEPLOY+E39*PV_HELP+F39*PV_BLOG+G39*PV_PR+H39*PV_BUILDNIGHT+I39*PV_MENTOR+J39*PV_DEMO</f>
        <v>0</v>
      </c>
    </row>
    <row r="40" ht="15.75" customHeight="1">
      <c r="A40" s="7" t="s">
        <v>158</v>
      </c>
      <c r="B40" s="7" t="s">
        <v>159</v>
      </c>
      <c r="C40" s="18">
        <v>0.0</v>
      </c>
      <c r="D40" s="18">
        <v>0.0</v>
      </c>
      <c r="E40" s="18">
        <v>0.0</v>
      </c>
      <c r="F40" s="18">
        <v>0.0</v>
      </c>
      <c r="G40" s="19">
        <v>0.0</v>
      </c>
      <c r="H40" s="18">
        <v>0.0</v>
      </c>
      <c r="I40" s="18">
        <v>0.0</v>
      </c>
      <c r="J40" s="19">
        <v>0.0</v>
      </c>
      <c r="K40" s="6">
        <f>C40*PV_UPDATE+D40*PV_DEPLOY+E40*PV_HELP+F40*PV_BLOG+G40*PV_PR+H40*PV_BUILDNIGHT+I40*PV_MENTOR+J40*PV_DEMO</f>
        <v>0</v>
      </c>
    </row>
    <row r="41" ht="15.75" customHeight="1">
      <c r="A41" s="7" t="s">
        <v>160</v>
      </c>
      <c r="B41" s="7" t="s">
        <v>161</v>
      </c>
      <c r="C41" s="18">
        <v>0.0</v>
      </c>
      <c r="D41" s="18">
        <v>0.0</v>
      </c>
      <c r="E41" s="18">
        <v>0.0</v>
      </c>
      <c r="F41" s="19">
        <v>0.0</v>
      </c>
      <c r="G41" s="19">
        <v>0.0</v>
      </c>
      <c r="H41" s="19">
        <v>0.0</v>
      </c>
      <c r="I41" s="18">
        <v>0.0</v>
      </c>
      <c r="J41" s="19">
        <v>0.0</v>
      </c>
      <c r="K41" s="6">
        <f>C41*PV_UPDATE+D41*PV_DEPLOY+E41*PV_HELP+F41*PV_BLOG+G41*PV_PR+H41*PV_BUILDNIGHT+I41*PV_MENTOR+J41*PV_DEMO</f>
        <v>0</v>
      </c>
    </row>
    <row r="42" ht="15.75" customHeight="1">
      <c r="A42" s="7" t="s">
        <v>162</v>
      </c>
      <c r="B42" s="7" t="s">
        <v>163</v>
      </c>
      <c r="C42" s="18">
        <v>0.0</v>
      </c>
      <c r="D42" s="18">
        <v>0.0</v>
      </c>
      <c r="E42" s="19">
        <v>0.0</v>
      </c>
      <c r="F42" s="19">
        <v>0.0</v>
      </c>
      <c r="G42" s="18">
        <v>0.0</v>
      </c>
      <c r="H42" s="18">
        <v>0.0</v>
      </c>
      <c r="I42" s="18">
        <v>0.0</v>
      </c>
      <c r="J42" s="19">
        <v>0.0</v>
      </c>
      <c r="K42" s="6">
        <f>C42*PV_UPDATE+D42*PV_DEPLOY+E42*PV_HELP+F42*PV_BLOG+G42*PV_PR+H42*PV_BUILDNIGHT+I42*PV_MENTOR+J42*PV_DEMO</f>
        <v>0</v>
      </c>
    </row>
    <row r="43" ht="15.75" customHeight="1">
      <c r="A43" s="7" t="s">
        <v>164</v>
      </c>
      <c r="B43" s="7" t="s">
        <v>165</v>
      </c>
      <c r="C43" s="18">
        <v>0.0</v>
      </c>
      <c r="D43" s="18">
        <v>0.0</v>
      </c>
      <c r="E43" s="19">
        <v>0.0</v>
      </c>
      <c r="F43" s="18">
        <v>0.0</v>
      </c>
      <c r="G43" s="19">
        <v>0.0</v>
      </c>
      <c r="H43" s="18">
        <v>0.0</v>
      </c>
      <c r="I43" s="18">
        <v>0.0</v>
      </c>
      <c r="J43" s="19">
        <v>0.0</v>
      </c>
      <c r="K43" s="6">
        <f>C43*PV_UPDATE+D43*PV_DEPLOY+E43*PV_HELP+F43*PV_BLOG+G43*PV_PR+H43*PV_BUILDNIGHT+I43*PV_MENTOR+J43*PV_DEMO</f>
        <v>0</v>
      </c>
    </row>
    <row r="44" ht="15.75" customHeight="1">
      <c r="A44" s="7" t="s">
        <v>167</v>
      </c>
      <c r="B44" s="7" t="s">
        <v>168</v>
      </c>
      <c r="C44" s="18">
        <v>0.0</v>
      </c>
      <c r="D44" s="18">
        <v>0.0</v>
      </c>
      <c r="E44" s="19">
        <v>0.0</v>
      </c>
      <c r="F44" s="18">
        <v>0.0</v>
      </c>
      <c r="G44" s="18">
        <v>0.0</v>
      </c>
      <c r="H44" s="18">
        <v>0.0</v>
      </c>
      <c r="I44" s="19">
        <v>0.0</v>
      </c>
      <c r="J44" s="19">
        <v>0.0</v>
      </c>
      <c r="K44" s="6">
        <f>C44*PV_UPDATE+D44*PV_DEPLOY+E44*PV_HELP+F44*PV_BLOG+G44*PV_PR+H44*PV_BUILDNIGHT+I44*PV_MENTOR+J44*PV_DEMO</f>
        <v>0</v>
      </c>
    </row>
    <row r="45" ht="15.75" customHeight="1">
      <c r="A45" s="7" t="s">
        <v>169</v>
      </c>
      <c r="B45" s="7" t="s">
        <v>170</v>
      </c>
      <c r="C45" s="18">
        <v>0.0</v>
      </c>
      <c r="D45" s="18">
        <v>0.0</v>
      </c>
      <c r="E45" s="19">
        <v>0.0</v>
      </c>
      <c r="F45" s="19">
        <v>0.0</v>
      </c>
      <c r="G45" s="19">
        <v>0.0</v>
      </c>
      <c r="H45" s="18">
        <v>0.0</v>
      </c>
      <c r="I45" s="18">
        <v>0.0</v>
      </c>
      <c r="J45" s="19">
        <v>0.0</v>
      </c>
      <c r="K45" s="6">
        <f>C45*PV_UPDATE+D45*PV_DEPLOY+E45*PV_HELP+F45*PV_BLOG+G45*PV_PR+H45*PV_BUILDNIGHT+I45*PV_MENTOR+J45*PV_DEMO</f>
        <v>0</v>
      </c>
    </row>
    <row r="46" ht="15.75" customHeight="1">
      <c r="A46" s="7" t="s">
        <v>171</v>
      </c>
      <c r="B46" s="7" t="s">
        <v>172</v>
      </c>
      <c r="C46" s="18">
        <v>0.0</v>
      </c>
      <c r="D46" s="18">
        <v>0.0</v>
      </c>
      <c r="E46" s="19">
        <v>0.0</v>
      </c>
      <c r="F46" s="19">
        <v>0.0</v>
      </c>
      <c r="G46" s="19">
        <v>0.0</v>
      </c>
      <c r="H46" s="19">
        <v>0.0</v>
      </c>
      <c r="I46" s="18">
        <v>0.0</v>
      </c>
      <c r="J46" s="19">
        <v>0.0</v>
      </c>
      <c r="K46" s="6">
        <f>C46*PV_UPDATE+D46*PV_DEPLOY+E46*PV_HELP+F46*PV_BLOG+G46*PV_PR+H46*PV_BUILDNIGHT+I46*PV_MENTOR+J46*PV_DEMO</f>
        <v>0</v>
      </c>
    </row>
    <row r="47" ht="15.75" customHeight="1">
      <c r="A47" s="7" t="s">
        <v>173</v>
      </c>
      <c r="B47" s="7" t="s">
        <v>174</v>
      </c>
      <c r="C47" s="18">
        <v>0.0</v>
      </c>
      <c r="D47" s="18">
        <v>0.0</v>
      </c>
      <c r="E47" s="19">
        <v>0.0</v>
      </c>
      <c r="F47" s="19">
        <v>0.0</v>
      </c>
      <c r="G47" s="18">
        <v>0.0</v>
      </c>
      <c r="H47" s="18">
        <v>0.0</v>
      </c>
      <c r="I47" s="19">
        <v>0.0</v>
      </c>
      <c r="J47" s="19">
        <v>0.0</v>
      </c>
      <c r="K47" s="6">
        <f>C47*PV_UPDATE+D47*PV_DEPLOY+E47*PV_HELP+F47*PV_BLOG+G47*PV_PR+H47*PV_BUILDNIGHT+I47*PV_MENTOR+J47*PV_DEMO</f>
        <v>0</v>
      </c>
    </row>
    <row r="48" ht="15.75" customHeight="1">
      <c r="A48" s="7" t="s">
        <v>175</v>
      </c>
      <c r="B48" s="7" t="s">
        <v>176</v>
      </c>
      <c r="C48" s="18">
        <v>0.0</v>
      </c>
      <c r="D48" s="18">
        <v>0.0</v>
      </c>
      <c r="E48" s="19">
        <v>0.0</v>
      </c>
      <c r="F48" s="19">
        <v>0.0</v>
      </c>
      <c r="G48" s="18">
        <v>0.0</v>
      </c>
      <c r="H48" s="18">
        <v>0.0</v>
      </c>
      <c r="I48" s="19">
        <v>0.0</v>
      </c>
      <c r="J48" s="19">
        <v>0.0</v>
      </c>
      <c r="K48" s="6">
        <f>C48*PV_UPDATE+D48*PV_DEPLOY+E48*PV_HELP+F48*PV_BLOG+G48*PV_PR+H48*PV_BUILDNIGHT+I48*PV_MENTOR+J48*PV_DEMO</f>
        <v>0</v>
      </c>
    </row>
    <row r="49" ht="15.75" customHeight="1">
      <c r="A49" s="7" t="s">
        <v>177</v>
      </c>
      <c r="B49" s="7" t="s">
        <v>178</v>
      </c>
      <c r="C49" s="18">
        <v>0.0</v>
      </c>
      <c r="D49" s="18">
        <v>0.0</v>
      </c>
      <c r="E49" s="19">
        <v>0.0</v>
      </c>
      <c r="F49" s="18">
        <v>0.0</v>
      </c>
      <c r="G49" s="18">
        <v>0.0</v>
      </c>
      <c r="H49" s="18">
        <v>0.0</v>
      </c>
      <c r="I49" s="19">
        <v>0.0</v>
      </c>
      <c r="J49" s="19">
        <v>0.0</v>
      </c>
      <c r="K49" s="6">
        <f>C49*PV_UPDATE+D49*PV_DEPLOY+E49*PV_HELP+F49*PV_BLOG+G49*PV_PR+H49*PV_BUILDNIGHT+I49*PV_MENTOR+J49*PV_DEMO</f>
        <v>0</v>
      </c>
    </row>
    <row r="50" ht="15.75" customHeight="1">
      <c r="A50" s="7" t="s">
        <v>179</v>
      </c>
      <c r="B50" s="7" t="s">
        <v>180</v>
      </c>
      <c r="C50" s="18">
        <v>0.0</v>
      </c>
      <c r="D50" s="18">
        <v>0.0</v>
      </c>
      <c r="E50" s="19">
        <v>0.0</v>
      </c>
      <c r="F50" s="19">
        <v>0.0</v>
      </c>
      <c r="G50" s="19">
        <v>0.0</v>
      </c>
      <c r="H50" s="18">
        <v>0.0</v>
      </c>
      <c r="I50" s="18">
        <v>0.0</v>
      </c>
      <c r="J50" s="19">
        <v>0.0</v>
      </c>
      <c r="K50" s="6">
        <f>C50*PV_UPDATE+D50*PV_DEPLOY+E50*PV_HELP+F50*PV_BLOG+G50*PV_PR+H50*PV_BUILDNIGHT+I50*PV_MENTOR+J50*PV_DEMO</f>
        <v>0</v>
      </c>
    </row>
    <row r="51" ht="15.75" customHeight="1">
      <c r="A51" s="7" t="s">
        <v>181</v>
      </c>
      <c r="B51" s="7" t="s">
        <v>182</v>
      </c>
      <c r="C51" s="18">
        <v>0.0</v>
      </c>
      <c r="D51" s="18">
        <v>0.0</v>
      </c>
      <c r="E51" s="19">
        <v>0.0</v>
      </c>
      <c r="F51" s="18">
        <v>0.0</v>
      </c>
      <c r="G51" s="18">
        <v>0.0</v>
      </c>
      <c r="H51" s="19">
        <v>0.0</v>
      </c>
      <c r="I51" s="18">
        <v>0.0</v>
      </c>
      <c r="J51" s="19">
        <v>0.0</v>
      </c>
      <c r="K51" s="6">
        <f>C51*PV_UPDATE+D51*PV_DEPLOY+E51*PV_HELP+F51*PV_BLOG+G51*PV_PR+H51*PV_BUILDNIGHT+I51*PV_MENTOR+J51*PV_DEMO</f>
        <v>0</v>
      </c>
    </row>
    <row r="52" ht="15.75" customHeight="1">
      <c r="A52" s="7" t="s">
        <v>183</v>
      </c>
      <c r="B52" s="7" t="s">
        <v>184</v>
      </c>
      <c r="C52" s="18">
        <v>0.0</v>
      </c>
      <c r="D52" s="18">
        <v>0.0</v>
      </c>
      <c r="E52" s="18">
        <v>0.0</v>
      </c>
      <c r="F52" s="19">
        <v>0.0</v>
      </c>
      <c r="G52" s="18">
        <v>0.0</v>
      </c>
      <c r="H52" s="18">
        <v>0.0</v>
      </c>
      <c r="I52" s="18">
        <v>0.0</v>
      </c>
      <c r="J52" s="19">
        <v>0.0</v>
      </c>
      <c r="K52" s="6">
        <f>C52*PV_UPDATE+D52*PV_DEPLOY+E52*PV_HELP+F52*PV_BLOG+G52*PV_PR+H52*PV_BUILDNIGHT+I52*PV_MENTOR+J52*PV_DEMO</f>
        <v>0</v>
      </c>
    </row>
    <row r="53" ht="15.75" customHeight="1">
      <c r="A53" s="7" t="s">
        <v>185</v>
      </c>
      <c r="B53" s="7" t="s">
        <v>186</v>
      </c>
      <c r="C53" s="18">
        <v>0.0</v>
      </c>
      <c r="D53" s="18">
        <v>0.0</v>
      </c>
      <c r="E53" s="18">
        <v>0.0</v>
      </c>
      <c r="F53" s="19">
        <v>0.0</v>
      </c>
      <c r="G53" s="19">
        <v>0.0</v>
      </c>
      <c r="H53" s="18">
        <v>0.0</v>
      </c>
      <c r="I53" s="18">
        <v>0.0</v>
      </c>
      <c r="J53" s="19">
        <v>0.0</v>
      </c>
      <c r="K53" s="6">
        <f>C53*PV_UPDATE+D53*PV_DEPLOY+E53*PV_HELP+F53*PV_BLOG+G53*PV_PR+H53*PV_BUILDNIGHT+I53*PV_MENTOR+J53*PV_DEMO</f>
        <v>0</v>
      </c>
    </row>
    <row r="54" ht="15.75" customHeight="1">
      <c r="A54" s="7" t="s">
        <v>187</v>
      </c>
      <c r="B54" s="7" t="s">
        <v>188</v>
      </c>
      <c r="C54" s="18">
        <v>0.0</v>
      </c>
      <c r="D54" s="18">
        <v>0.0</v>
      </c>
      <c r="E54" s="18">
        <v>0.0</v>
      </c>
      <c r="F54" s="19">
        <v>0.0</v>
      </c>
      <c r="G54" s="19">
        <v>0.0</v>
      </c>
      <c r="H54" s="19">
        <v>0.0</v>
      </c>
      <c r="I54" s="19">
        <v>0.0</v>
      </c>
      <c r="J54" s="19">
        <v>0.0</v>
      </c>
      <c r="K54" s="6">
        <f>C54*PV_UPDATE+D54*PV_DEPLOY+E54*PV_HELP+F54*PV_BLOG+G54*PV_PR+H54*PV_BUILDNIGHT+I54*PV_MENTOR+J54*PV_DEMO</f>
        <v>0</v>
      </c>
    </row>
    <row r="55" ht="15.75" customHeight="1">
      <c r="A55" s="7" t="s">
        <v>189</v>
      </c>
      <c r="B55" s="7" t="s">
        <v>190</v>
      </c>
      <c r="C55" s="18">
        <v>0.0</v>
      </c>
      <c r="D55" s="18">
        <v>0.0</v>
      </c>
      <c r="E55" s="19">
        <v>0.0</v>
      </c>
      <c r="F55" s="19">
        <v>0.0</v>
      </c>
      <c r="G55" s="19">
        <v>0.0</v>
      </c>
      <c r="H55" s="18">
        <v>0.0</v>
      </c>
      <c r="I55" s="18">
        <v>0.0</v>
      </c>
      <c r="J55" s="19">
        <v>0.0</v>
      </c>
      <c r="K55" s="6">
        <f>C55*PV_UPDATE+D55*PV_DEPLOY+E55*PV_HELP+F55*PV_BLOG+G55*PV_PR+H55*PV_BUILDNIGHT+I55*PV_MENTOR+J55*PV_DEMO</f>
        <v>0</v>
      </c>
    </row>
    <row r="56" ht="15.75" customHeight="1">
      <c r="A56" s="7" t="s">
        <v>191</v>
      </c>
      <c r="B56" s="7" t="s">
        <v>192</v>
      </c>
      <c r="C56" s="18">
        <v>0.0</v>
      </c>
      <c r="D56" s="18">
        <v>0.0</v>
      </c>
      <c r="E56" s="18">
        <v>0.0</v>
      </c>
      <c r="F56" s="18">
        <v>0.0</v>
      </c>
      <c r="G56" s="19">
        <v>0.0</v>
      </c>
      <c r="H56" s="18">
        <v>0.0</v>
      </c>
      <c r="I56" s="19">
        <v>0.0</v>
      </c>
      <c r="J56" s="19">
        <v>0.0</v>
      </c>
      <c r="K56" s="6">
        <f>C56*PV_UPDATE+D56*PV_DEPLOY+E56*PV_HELP+F56*PV_BLOG+G56*PV_PR+H56*PV_BUILDNIGHT+I56*PV_MENTOR+J56*PV_DEMO</f>
        <v>0</v>
      </c>
    </row>
    <row r="57" ht="15.75" customHeight="1">
      <c r="A57" s="7" t="s">
        <v>193</v>
      </c>
      <c r="B57" s="7" t="s">
        <v>194</v>
      </c>
      <c r="C57" s="18">
        <v>0.0</v>
      </c>
      <c r="D57" s="18">
        <v>0.0</v>
      </c>
      <c r="E57" s="19">
        <v>0.0</v>
      </c>
      <c r="F57" s="19">
        <v>0.0</v>
      </c>
      <c r="G57" s="18">
        <v>0.0</v>
      </c>
      <c r="H57" s="18">
        <v>0.0</v>
      </c>
      <c r="I57" s="19">
        <v>0.0</v>
      </c>
      <c r="J57" s="19">
        <v>0.0</v>
      </c>
      <c r="K57" s="6">
        <f>C57*PV_UPDATE+D57*PV_DEPLOY+E57*PV_HELP+F57*PV_BLOG+G57*PV_PR+H57*PV_BUILDNIGHT+I57*PV_MENTOR+J57*PV_DEMO</f>
        <v>0</v>
      </c>
    </row>
    <row r="58" ht="15.75" customHeight="1">
      <c r="A58" s="7" t="s">
        <v>195</v>
      </c>
      <c r="B58" s="7" t="s">
        <v>196</v>
      </c>
      <c r="C58" s="18">
        <v>0.0</v>
      </c>
      <c r="D58" s="18">
        <v>0.0</v>
      </c>
      <c r="E58" s="18">
        <v>0.0</v>
      </c>
      <c r="F58" s="18">
        <v>0.0</v>
      </c>
      <c r="G58" s="19">
        <v>0.0</v>
      </c>
      <c r="H58" s="18">
        <v>0.0</v>
      </c>
      <c r="I58" s="19">
        <v>0.0</v>
      </c>
      <c r="J58" s="19">
        <v>0.0</v>
      </c>
      <c r="K58" s="6">
        <f>C58*PV_UPDATE+D58*PV_DEPLOY+E58*PV_HELP+F58*PV_BLOG+G58*PV_PR+H58*PV_BUILDNIGHT+I58*PV_MENTOR+J58*PV_DEMO</f>
        <v>0</v>
      </c>
    </row>
    <row r="59" ht="15.75" customHeight="1">
      <c r="A59" s="7" t="s">
        <v>197</v>
      </c>
      <c r="B59" s="7" t="s">
        <v>198</v>
      </c>
      <c r="C59" s="18">
        <v>0.0</v>
      </c>
      <c r="D59" s="18">
        <v>0.0</v>
      </c>
      <c r="E59" s="19">
        <v>0.0</v>
      </c>
      <c r="F59" s="19">
        <v>0.0</v>
      </c>
      <c r="G59" s="19">
        <v>0.0</v>
      </c>
      <c r="H59" s="18">
        <v>0.0</v>
      </c>
      <c r="I59" s="18">
        <v>0.0</v>
      </c>
      <c r="J59" s="19">
        <v>0.0</v>
      </c>
      <c r="K59" s="6">
        <f>C59*PV_UPDATE+D59*PV_DEPLOY+E59*PV_HELP+F59*PV_BLOG+G59*PV_PR+H59*PV_BUILDNIGHT+I59*PV_MENTOR+J59*PV_DEMO</f>
        <v>0</v>
      </c>
    </row>
    <row r="60" ht="15.75" customHeight="1">
      <c r="A60" s="7" t="s">
        <v>199</v>
      </c>
      <c r="B60" s="7" t="s">
        <v>200</v>
      </c>
      <c r="C60" s="18">
        <v>0.0</v>
      </c>
      <c r="D60" s="18">
        <v>0.0</v>
      </c>
      <c r="E60" s="19">
        <v>0.0</v>
      </c>
      <c r="F60" s="18">
        <v>0.0</v>
      </c>
      <c r="G60" s="19">
        <v>0.0</v>
      </c>
      <c r="H60" s="18">
        <v>0.0</v>
      </c>
      <c r="I60" s="18">
        <v>0.0</v>
      </c>
      <c r="J60" s="19">
        <v>0.0</v>
      </c>
      <c r="K60" s="6">
        <f>C60*PV_UPDATE+D60*PV_DEPLOY+E60*PV_HELP+F60*PV_BLOG+G60*PV_PR+H60*PV_BUILDNIGHT+I60*PV_MENTOR+J60*PV_DEMO</f>
        <v>0</v>
      </c>
    </row>
    <row r="61" ht="15.75" customHeight="1">
      <c r="A61" s="7" t="s">
        <v>201</v>
      </c>
      <c r="B61" s="7" t="s">
        <v>202</v>
      </c>
      <c r="C61" s="18">
        <v>0.0</v>
      </c>
      <c r="D61" s="18">
        <v>0.0</v>
      </c>
      <c r="E61" s="19">
        <v>0.0</v>
      </c>
      <c r="F61" s="19">
        <v>0.0</v>
      </c>
      <c r="G61" s="19">
        <v>0.0</v>
      </c>
      <c r="H61" s="19">
        <v>0.0</v>
      </c>
      <c r="I61" s="18">
        <v>0.0</v>
      </c>
      <c r="J61" s="19">
        <v>0.0</v>
      </c>
      <c r="K61" s="6">
        <f>C61*PV_UPDATE+D61*PV_DEPLOY+E61*PV_HELP+F61*PV_BLOG+G61*PV_PR+H61*PV_BUILDNIGHT+I61*PV_MENTOR+J61*PV_DEMO</f>
        <v>0</v>
      </c>
    </row>
    <row r="62" ht="15.75" customHeight="1">
      <c r="A62" s="7" t="s">
        <v>203</v>
      </c>
      <c r="B62" s="7" t="s">
        <v>204</v>
      </c>
      <c r="C62" s="18">
        <v>0.0</v>
      </c>
      <c r="D62" s="18">
        <v>0.0</v>
      </c>
      <c r="E62" s="19">
        <v>0.0</v>
      </c>
      <c r="F62" s="18">
        <v>0.0</v>
      </c>
      <c r="G62" s="19">
        <v>0.0</v>
      </c>
      <c r="H62" s="18">
        <v>0.0</v>
      </c>
      <c r="I62" s="18">
        <v>0.0</v>
      </c>
      <c r="J62" s="19">
        <v>0.0</v>
      </c>
      <c r="K62" s="6">
        <f>C62*PV_UPDATE+D62*PV_DEPLOY+E62*PV_HELP+F62*PV_BLOG+G62*PV_PR+H62*PV_BUILDNIGHT+I62*PV_MENTOR+J62*PV_DEMO</f>
        <v>0</v>
      </c>
    </row>
    <row r="63" ht="15.75" customHeight="1">
      <c r="A63" s="7" t="s">
        <v>205</v>
      </c>
      <c r="B63" s="7" t="s">
        <v>206</v>
      </c>
      <c r="C63" s="18">
        <v>0.0</v>
      </c>
      <c r="D63" s="18">
        <v>0.0</v>
      </c>
      <c r="E63" s="18">
        <v>0.0</v>
      </c>
      <c r="F63" s="19">
        <v>0.0</v>
      </c>
      <c r="G63" s="19">
        <v>0.0</v>
      </c>
      <c r="H63" s="18">
        <v>0.0</v>
      </c>
      <c r="I63" s="18">
        <v>0.0</v>
      </c>
      <c r="J63" s="19">
        <v>0.0</v>
      </c>
      <c r="K63" s="6">
        <f>C63*PV_UPDATE+D63*PV_DEPLOY+E63*PV_HELP+F63*PV_BLOG+G63*PV_PR+H63*PV_BUILDNIGHT+I63*PV_MENTOR+J63*PV_DEMO</f>
        <v>0</v>
      </c>
    </row>
    <row r="64" ht="15.75" customHeight="1">
      <c r="A64" s="7" t="s">
        <v>207</v>
      </c>
      <c r="B64" s="7" t="s">
        <v>208</v>
      </c>
      <c r="C64" s="18">
        <v>0.0</v>
      </c>
      <c r="D64" s="18">
        <v>0.0</v>
      </c>
      <c r="E64" s="19">
        <v>0.0</v>
      </c>
      <c r="F64" s="18">
        <v>0.0</v>
      </c>
      <c r="G64" s="19">
        <v>0.0</v>
      </c>
      <c r="H64" s="18">
        <v>0.0</v>
      </c>
      <c r="I64" s="18">
        <v>0.0</v>
      </c>
      <c r="J64" s="19">
        <v>0.0</v>
      </c>
      <c r="K64" s="6">
        <f>C64*PV_UPDATE+D64*PV_DEPLOY+E64*PV_HELP+F64*PV_BLOG+G64*PV_PR+H64*PV_BUILDNIGHT+I64*PV_MENTOR+J64*PV_DEMO</f>
        <v>0</v>
      </c>
    </row>
    <row r="65" ht="15.75" customHeight="1">
      <c r="A65" s="7" t="s">
        <v>209</v>
      </c>
      <c r="B65" s="7" t="s">
        <v>210</v>
      </c>
      <c r="C65" s="18">
        <v>0.0</v>
      </c>
      <c r="D65" s="18">
        <v>0.0</v>
      </c>
      <c r="E65" s="19">
        <v>0.0</v>
      </c>
      <c r="F65" s="18">
        <v>0.0</v>
      </c>
      <c r="G65" s="19">
        <v>0.0</v>
      </c>
      <c r="H65" s="18">
        <v>0.0</v>
      </c>
      <c r="I65" s="19">
        <v>0.0</v>
      </c>
      <c r="J65" s="19">
        <v>0.0</v>
      </c>
      <c r="K65" s="6">
        <f>C65*PV_UPDATE+D65*PV_DEPLOY+E65*PV_HELP+F65*PV_BLOG+G65*PV_PR+H65*PV_BUILDNIGHT+I65*PV_MENTOR+J65*PV_DEMO</f>
        <v>0</v>
      </c>
    </row>
    <row r="66" ht="15.75" customHeight="1">
      <c r="A66" s="7" t="s">
        <v>211</v>
      </c>
      <c r="B66" s="7" t="s">
        <v>212</v>
      </c>
      <c r="C66" s="18">
        <v>0.0</v>
      </c>
      <c r="D66" s="18">
        <v>0.0</v>
      </c>
      <c r="E66" s="19">
        <v>0.0</v>
      </c>
      <c r="F66" s="19">
        <v>0.0</v>
      </c>
      <c r="G66" s="19">
        <v>0.0</v>
      </c>
      <c r="H66" s="18">
        <v>0.0</v>
      </c>
      <c r="I66" s="18">
        <v>0.0</v>
      </c>
      <c r="J66" s="19">
        <v>0.0</v>
      </c>
      <c r="K66" s="6">
        <f>C66*PV_UPDATE+D66*PV_DEPLOY+E66*PV_HELP+F66*PV_BLOG+G66*PV_PR+H66*PV_BUILDNIGHT+I66*PV_MENTOR+J66*PV_DEMO</f>
        <v>0</v>
      </c>
    </row>
    <row r="67" ht="15.75" customHeight="1">
      <c r="A67" s="7" t="s">
        <v>213</v>
      </c>
      <c r="B67" s="7" t="s">
        <v>214</v>
      </c>
      <c r="C67" s="18">
        <v>0.0</v>
      </c>
      <c r="D67" s="18">
        <v>0.0</v>
      </c>
      <c r="E67" s="19">
        <v>0.0</v>
      </c>
      <c r="F67" s="19">
        <v>0.0</v>
      </c>
      <c r="G67" s="18">
        <v>0.0</v>
      </c>
      <c r="H67" s="18">
        <v>0.0</v>
      </c>
      <c r="I67" s="18">
        <v>0.0</v>
      </c>
      <c r="J67" s="19">
        <v>0.0</v>
      </c>
      <c r="K67" s="6">
        <f>C67*PV_UPDATE+D67*PV_DEPLOY+E67*PV_HELP+F67*PV_BLOG+G67*PV_PR+H67*PV_BUILDNIGHT+I67*PV_MENTOR+J67*PV_DEMO</f>
        <v>0</v>
      </c>
    </row>
    <row r="68" ht="15.75" customHeight="1">
      <c r="A68" s="7" t="s">
        <v>215</v>
      </c>
      <c r="B68" s="7" t="s">
        <v>216</v>
      </c>
      <c r="C68" s="18">
        <v>0.0</v>
      </c>
      <c r="D68" s="18">
        <v>0.0</v>
      </c>
      <c r="E68" s="19">
        <v>0.0</v>
      </c>
      <c r="F68" s="19">
        <v>0.0</v>
      </c>
      <c r="G68" s="19">
        <v>0.0</v>
      </c>
      <c r="H68" s="19">
        <v>0.0</v>
      </c>
      <c r="I68" s="18">
        <v>0.0</v>
      </c>
      <c r="J68" s="19">
        <v>0.0</v>
      </c>
      <c r="K68" s="6">
        <f>C68*PV_UPDATE+D68*PV_DEPLOY+E68*PV_HELP+F68*PV_BLOG+G68*PV_PR+H68*PV_BUILDNIGHT+I68*PV_MENTOR+J68*PV_DEMO</f>
        <v>0</v>
      </c>
    </row>
    <row r="69" ht="15.75" customHeight="1">
      <c r="A69" s="7" t="s">
        <v>217</v>
      </c>
      <c r="B69" s="7" t="s">
        <v>218</v>
      </c>
      <c r="C69" s="18">
        <v>0.0</v>
      </c>
      <c r="D69" s="18">
        <v>0.0</v>
      </c>
      <c r="E69" s="19">
        <v>0.0</v>
      </c>
      <c r="F69" s="18">
        <v>0.0</v>
      </c>
      <c r="G69" s="18">
        <v>0.0</v>
      </c>
      <c r="H69" s="18">
        <v>0.0</v>
      </c>
      <c r="I69" s="18">
        <v>0.0</v>
      </c>
      <c r="J69" s="19">
        <v>0.0</v>
      </c>
      <c r="K69" s="6">
        <f>C69*PV_UPDATE+D69*PV_DEPLOY+E69*PV_HELP+F69*PV_BLOG+G69*PV_PR+H69*PV_BUILDNIGHT+I69*PV_MENTOR+J69*PV_DEMO</f>
        <v>0</v>
      </c>
    </row>
    <row r="70" ht="15.75" customHeight="1">
      <c r="A70" s="7" t="s">
        <v>219</v>
      </c>
      <c r="B70" s="7" t="s">
        <v>220</v>
      </c>
      <c r="C70" s="18">
        <v>0.0</v>
      </c>
      <c r="D70" s="18">
        <v>0.0</v>
      </c>
      <c r="E70" s="19">
        <v>0.0</v>
      </c>
      <c r="F70" s="19">
        <v>0.0</v>
      </c>
      <c r="G70" s="19">
        <v>0.0</v>
      </c>
      <c r="H70" s="18">
        <v>0.0</v>
      </c>
      <c r="I70" s="18">
        <v>0.0</v>
      </c>
      <c r="J70" s="19">
        <v>0.0</v>
      </c>
      <c r="K70" s="6">
        <f>C70*PV_UPDATE+D70*PV_DEPLOY+E70*PV_HELP+F70*PV_BLOG+G70*PV_PR+H70*PV_BUILDNIGHT+I70*PV_MENTOR+J70*PV_DEMO</f>
        <v>0</v>
      </c>
    </row>
    <row r="71" ht="15.75" customHeight="1">
      <c r="A71" s="7" t="s">
        <v>221</v>
      </c>
      <c r="B71" s="7" t="s">
        <v>222</v>
      </c>
      <c r="C71" s="18">
        <v>0.0</v>
      </c>
      <c r="D71" s="18">
        <v>0.0</v>
      </c>
      <c r="E71" s="19">
        <v>0.0</v>
      </c>
      <c r="F71" s="19">
        <v>0.0</v>
      </c>
      <c r="G71" s="18">
        <v>0.0</v>
      </c>
      <c r="H71" s="19">
        <v>0.0</v>
      </c>
      <c r="I71" s="19">
        <v>0.0</v>
      </c>
      <c r="J71" s="19">
        <v>0.0</v>
      </c>
      <c r="K71" s="6">
        <f>C71*PV_UPDATE+D71*PV_DEPLOY+E71*PV_HELP+F71*PV_BLOG+G71*PV_PR+H71*PV_BUILDNIGHT+I71*PV_MENTOR+J71*PV_DEMO</f>
        <v>0</v>
      </c>
    </row>
    <row r="72" ht="15.75" customHeight="1">
      <c r="A72" s="7" t="s">
        <v>223</v>
      </c>
      <c r="B72" s="7" t="s">
        <v>224</v>
      </c>
      <c r="C72" s="18">
        <v>0.0</v>
      </c>
      <c r="D72" s="18">
        <v>0.0</v>
      </c>
      <c r="E72" s="19">
        <v>0.0</v>
      </c>
      <c r="F72" s="18">
        <v>0.0</v>
      </c>
      <c r="G72" s="19">
        <v>0.0</v>
      </c>
      <c r="H72" s="19">
        <v>0.0</v>
      </c>
      <c r="I72" s="18">
        <v>0.0</v>
      </c>
      <c r="J72" s="19">
        <v>0.0</v>
      </c>
      <c r="K72" s="6">
        <f>C72*PV_UPDATE+D72*PV_DEPLOY+E72*PV_HELP+F72*PV_BLOG+G72*PV_PR+H72*PV_BUILDNIGHT+I72*PV_MENTOR+J72*PV_DEMO</f>
        <v>0</v>
      </c>
    </row>
    <row r="73" ht="15.75" customHeight="1">
      <c r="A73" s="7" t="s">
        <v>225</v>
      </c>
      <c r="B73" s="7" t="s">
        <v>226</v>
      </c>
      <c r="C73" s="18">
        <v>0.0</v>
      </c>
      <c r="D73" s="18">
        <v>0.0</v>
      </c>
      <c r="E73" s="19">
        <v>0.0</v>
      </c>
      <c r="F73" s="19">
        <v>0.0</v>
      </c>
      <c r="G73" s="19">
        <v>0.0</v>
      </c>
      <c r="H73" s="19">
        <v>0.0</v>
      </c>
      <c r="I73" s="18">
        <v>0.0</v>
      </c>
      <c r="J73" s="19">
        <v>0.0</v>
      </c>
      <c r="K73" s="6">
        <f>C73*PV_UPDATE+D73*PV_DEPLOY+E73*PV_HELP+F73*PV_BLOG+G73*PV_PR+H73*PV_BUILDNIGHT+I73*PV_MENTOR+J73*PV_DEMO</f>
        <v>0</v>
      </c>
    </row>
    <row r="74" ht="15.75" customHeight="1">
      <c r="A74" s="7" t="s">
        <v>227</v>
      </c>
      <c r="B74" s="7" t="s">
        <v>228</v>
      </c>
      <c r="C74" s="18">
        <v>0.0</v>
      </c>
      <c r="D74" s="18">
        <v>0.0</v>
      </c>
      <c r="E74" s="19">
        <v>0.0</v>
      </c>
      <c r="F74" s="19">
        <v>0.0</v>
      </c>
      <c r="G74" s="19">
        <v>0.0</v>
      </c>
      <c r="H74" s="18">
        <v>0.0</v>
      </c>
      <c r="I74" s="18">
        <v>0.0</v>
      </c>
      <c r="J74" s="19">
        <v>0.0</v>
      </c>
      <c r="K74" s="6">
        <f>C74*PV_UPDATE+D74*PV_DEPLOY+E74*PV_HELP+F74*PV_BLOG+G74*PV_PR+H74*PV_BUILDNIGHT+I74*PV_MENTOR+J74*PV_DEMO</f>
        <v>0</v>
      </c>
    </row>
    <row r="75" ht="15.75" customHeight="1">
      <c r="A75" s="7" t="s">
        <v>229</v>
      </c>
      <c r="B75" s="7" t="s">
        <v>230</v>
      </c>
      <c r="C75" s="18">
        <v>0.0</v>
      </c>
      <c r="D75" s="18">
        <v>0.0</v>
      </c>
      <c r="E75" s="19">
        <v>0.0</v>
      </c>
      <c r="F75" s="19">
        <v>0.0</v>
      </c>
      <c r="G75" s="19">
        <v>0.0</v>
      </c>
      <c r="H75" s="18">
        <v>0.0</v>
      </c>
      <c r="I75" s="18">
        <v>0.0</v>
      </c>
      <c r="J75" s="19">
        <v>0.0</v>
      </c>
      <c r="K75" s="6">
        <f>C75*PV_UPDATE+D75*PV_DEPLOY+E75*PV_HELP+F75*PV_BLOG+G75*PV_PR+H75*PV_BUILDNIGHT+I75*PV_MENTOR+J75*PV_DEMO</f>
        <v>0</v>
      </c>
    </row>
    <row r="76" ht="15.75" customHeight="1">
      <c r="A76" s="7" t="s">
        <v>231</v>
      </c>
      <c r="B76" s="7" t="s">
        <v>232</v>
      </c>
      <c r="C76" s="18">
        <v>0.0</v>
      </c>
      <c r="D76" s="18">
        <v>0.0</v>
      </c>
      <c r="E76" s="19">
        <v>0.0</v>
      </c>
      <c r="F76" s="19">
        <v>0.0</v>
      </c>
      <c r="G76" s="19">
        <v>0.0</v>
      </c>
      <c r="H76" s="18">
        <v>0.0</v>
      </c>
      <c r="I76" s="19">
        <v>0.0</v>
      </c>
      <c r="J76" s="19">
        <v>0.0</v>
      </c>
      <c r="K76" s="6">
        <f>C76*PV_UPDATE+D76*PV_DEPLOY+E76*PV_HELP+F76*PV_BLOG+G76*PV_PR+H76*PV_BUILDNIGHT+I76*PV_MENTOR+J76*PV_DEMO</f>
        <v>0</v>
      </c>
    </row>
    <row r="77" ht="15.75" customHeight="1">
      <c r="A77" s="7" t="s">
        <v>233</v>
      </c>
      <c r="B77" s="7" t="s">
        <v>234</v>
      </c>
      <c r="C77" s="18">
        <v>0.0</v>
      </c>
      <c r="D77" s="18">
        <v>0.0</v>
      </c>
      <c r="E77" s="19">
        <v>0.0</v>
      </c>
      <c r="F77" s="19">
        <v>0.0</v>
      </c>
      <c r="G77" s="19">
        <v>0.0</v>
      </c>
      <c r="H77" s="18">
        <v>0.0</v>
      </c>
      <c r="I77" s="19">
        <v>0.0</v>
      </c>
      <c r="J77" s="19">
        <v>0.0</v>
      </c>
      <c r="K77" s="6">
        <f>C77*PV_UPDATE+D77*PV_DEPLOY+E77*PV_HELP+F77*PV_BLOG+G77*PV_PR+H77*PV_BUILDNIGHT+I77*PV_MENTOR+J77*PV_DEMO</f>
        <v>0</v>
      </c>
    </row>
    <row r="78" ht="15.75" customHeight="1">
      <c r="A78" s="7" t="s">
        <v>235</v>
      </c>
      <c r="B78" s="7" t="s">
        <v>236</v>
      </c>
      <c r="C78" s="18">
        <v>0.0</v>
      </c>
      <c r="D78" s="18">
        <v>0.0</v>
      </c>
      <c r="E78" s="18">
        <v>0.0</v>
      </c>
      <c r="F78" s="19">
        <v>0.0</v>
      </c>
      <c r="G78" s="19">
        <v>0.0</v>
      </c>
      <c r="H78" s="18">
        <v>0.0</v>
      </c>
      <c r="I78" s="18">
        <v>0.0</v>
      </c>
      <c r="J78" s="19">
        <v>0.0</v>
      </c>
      <c r="K78" s="6">
        <f>C78*PV_UPDATE+D78*PV_DEPLOY+E78*PV_HELP+F78*PV_BLOG+G78*PV_PR+H78*PV_BUILDNIGHT+I78*PV_MENTOR+J78*PV_DEMO</f>
        <v>0</v>
      </c>
    </row>
    <row r="79" ht="15.75" customHeight="1">
      <c r="A79" s="7" t="s">
        <v>237</v>
      </c>
      <c r="B79" s="7" t="s">
        <v>238</v>
      </c>
      <c r="C79" s="18">
        <v>0.0</v>
      </c>
      <c r="D79" s="18">
        <v>0.0</v>
      </c>
      <c r="E79" s="18">
        <v>0.0</v>
      </c>
      <c r="F79" s="19">
        <v>0.0</v>
      </c>
      <c r="G79" s="19">
        <v>0.0</v>
      </c>
      <c r="H79" s="18">
        <v>0.0</v>
      </c>
      <c r="I79" s="18">
        <v>0.0</v>
      </c>
      <c r="J79" s="19">
        <v>0.0</v>
      </c>
      <c r="K79" s="6">
        <f>C79*PV_UPDATE+D79*PV_DEPLOY+E79*PV_HELP+F79*PV_BLOG+G79*PV_PR+H79*PV_BUILDNIGHT+I79*PV_MENTOR+J79*PV_DEMO</f>
        <v>0</v>
      </c>
    </row>
    <row r="80" ht="15.75" customHeight="1">
      <c r="A80" s="7" t="s">
        <v>239</v>
      </c>
      <c r="B80" s="7" t="s">
        <v>240</v>
      </c>
      <c r="C80" s="18">
        <v>0.0</v>
      </c>
      <c r="D80" s="18">
        <v>0.0</v>
      </c>
      <c r="E80" s="19">
        <v>0.0</v>
      </c>
      <c r="F80" s="19">
        <v>0.0</v>
      </c>
      <c r="G80" s="19">
        <v>0.0</v>
      </c>
      <c r="H80" s="19">
        <v>0.0</v>
      </c>
      <c r="I80" s="19">
        <v>0.0</v>
      </c>
      <c r="J80" s="19">
        <v>0.0</v>
      </c>
      <c r="K80" s="6">
        <f>C80*PV_UPDATE+D80*PV_DEPLOY+E80*PV_HELP+F80*PV_BLOG+G80*PV_PR+H80*PV_BUILDNIGHT+I80*PV_MENTOR+J80*PV_DEMO</f>
        <v>0</v>
      </c>
    </row>
    <row r="81" ht="15.75" customHeight="1">
      <c r="A81" s="7" t="s">
        <v>241</v>
      </c>
      <c r="B81" s="7" t="s">
        <v>242</v>
      </c>
      <c r="C81" s="18">
        <v>0.0</v>
      </c>
      <c r="D81" s="18">
        <v>0.0</v>
      </c>
      <c r="E81" s="19">
        <v>0.0</v>
      </c>
      <c r="F81" s="19">
        <v>0.0</v>
      </c>
      <c r="G81" s="19">
        <v>0.0</v>
      </c>
      <c r="H81" s="18">
        <v>0.0</v>
      </c>
      <c r="I81" s="19">
        <v>0.0</v>
      </c>
      <c r="J81" s="19">
        <v>0.0</v>
      </c>
      <c r="K81" s="6">
        <f>C81*PV_UPDATE+D81*PV_DEPLOY+E81*PV_HELP+F81*PV_BLOG+G81*PV_PR+H81*PV_BUILDNIGHT+I81*PV_MENTOR+J81*PV_DEMO</f>
        <v>0</v>
      </c>
    </row>
    <row r="82" ht="15.75" customHeight="1">
      <c r="A82" s="7" t="s">
        <v>243</v>
      </c>
      <c r="B82" s="7" t="s">
        <v>244</v>
      </c>
      <c r="C82" s="18">
        <v>0.0</v>
      </c>
      <c r="D82" s="18">
        <v>0.0</v>
      </c>
      <c r="E82" s="19">
        <v>0.0</v>
      </c>
      <c r="F82" s="19">
        <v>0.0</v>
      </c>
      <c r="G82" s="19">
        <v>0.0</v>
      </c>
      <c r="H82" s="18">
        <v>0.0</v>
      </c>
      <c r="I82" s="18">
        <v>0.0</v>
      </c>
      <c r="J82" s="19">
        <v>0.0</v>
      </c>
      <c r="K82" s="6">
        <f>C82*PV_UPDATE+D82*PV_DEPLOY+E82*PV_HELP+F82*PV_BLOG+G82*PV_PR+H82*PV_BUILDNIGHT+I82*PV_MENTOR+J82*PV_DEMO</f>
        <v>0</v>
      </c>
    </row>
    <row r="83" ht="15.75" customHeight="1">
      <c r="A83" s="7" t="s">
        <v>245</v>
      </c>
      <c r="B83" s="7" t="s">
        <v>246</v>
      </c>
      <c r="C83" s="18">
        <v>0.0</v>
      </c>
      <c r="D83" s="18">
        <v>0.0</v>
      </c>
      <c r="E83" s="19">
        <v>0.0</v>
      </c>
      <c r="F83" s="18">
        <v>0.0</v>
      </c>
      <c r="G83" s="19">
        <v>0.0</v>
      </c>
      <c r="H83" s="19">
        <v>0.0</v>
      </c>
      <c r="I83" s="19">
        <v>0.0</v>
      </c>
      <c r="J83" s="19">
        <v>0.0</v>
      </c>
      <c r="K83" s="6">
        <f>C83*PV_UPDATE+D83*PV_DEPLOY+E83*PV_HELP+F83*PV_BLOG+G83*PV_PR+H83*PV_BUILDNIGHT+I83*PV_MENTOR+J83*PV_DEMO</f>
        <v>0</v>
      </c>
    </row>
    <row r="84" ht="15.75" customHeight="1">
      <c r="A84" s="7" t="s">
        <v>247</v>
      </c>
      <c r="B84" s="7" t="s">
        <v>248</v>
      </c>
      <c r="C84" s="18">
        <v>0.0</v>
      </c>
      <c r="D84" s="18">
        <v>0.0</v>
      </c>
      <c r="E84" s="19">
        <v>0.0</v>
      </c>
      <c r="F84" s="19">
        <v>0.0</v>
      </c>
      <c r="G84" s="19">
        <v>0.0</v>
      </c>
      <c r="H84" s="18">
        <v>0.0</v>
      </c>
      <c r="I84" s="18">
        <v>0.0</v>
      </c>
      <c r="J84" s="19">
        <v>0.0</v>
      </c>
      <c r="K84" s="6">
        <f>C84*PV_UPDATE+D84*PV_DEPLOY+E84*PV_HELP+F84*PV_BLOG+G84*PV_PR+H84*PV_BUILDNIGHT+I84*PV_MENTOR+J84*PV_DEMO</f>
        <v>0</v>
      </c>
    </row>
    <row r="85" ht="15.75" customHeight="1">
      <c r="A85" s="7" t="s">
        <v>249</v>
      </c>
      <c r="B85" s="7" t="s">
        <v>250</v>
      </c>
      <c r="C85" s="18">
        <v>0.0</v>
      </c>
      <c r="D85" s="18">
        <v>0.0</v>
      </c>
      <c r="E85" s="19">
        <v>0.0</v>
      </c>
      <c r="F85" s="19">
        <v>0.0</v>
      </c>
      <c r="G85" s="19">
        <v>0.0</v>
      </c>
      <c r="H85" s="19">
        <v>0.0</v>
      </c>
      <c r="I85" s="18">
        <v>0.0</v>
      </c>
      <c r="J85" s="19">
        <v>0.0</v>
      </c>
      <c r="K85" s="6">
        <f>C85*PV_UPDATE+D85*PV_DEPLOY+E85*PV_HELP+F85*PV_BLOG+G85*PV_PR+H85*PV_BUILDNIGHT+I85*PV_MENTOR+J85*PV_DEMO</f>
        <v>0</v>
      </c>
    </row>
    <row r="86" ht="15.75" customHeight="1">
      <c r="A86" s="7" t="s">
        <v>251</v>
      </c>
      <c r="B86" s="7" t="s">
        <v>252</v>
      </c>
      <c r="C86" s="18">
        <v>0.0</v>
      </c>
      <c r="D86" s="18">
        <v>0.0</v>
      </c>
      <c r="E86" s="18">
        <v>0.0</v>
      </c>
      <c r="F86" s="19">
        <v>0.0</v>
      </c>
      <c r="G86" s="18">
        <v>0.0</v>
      </c>
      <c r="H86" s="18">
        <v>0.0</v>
      </c>
      <c r="I86" s="18">
        <v>0.0</v>
      </c>
      <c r="J86" s="19">
        <v>0.0</v>
      </c>
      <c r="K86" s="6">
        <f>C86*PV_UPDATE+D86*PV_DEPLOY+E86*PV_HELP+F86*PV_BLOG+G86*PV_PR+H86*PV_BUILDNIGHT+I86*PV_MENTOR+J86*PV_DEMO</f>
        <v>0</v>
      </c>
    </row>
    <row r="87" ht="15.75" customHeight="1">
      <c r="A87" s="7" t="s">
        <v>253</v>
      </c>
      <c r="B87" s="7" t="s">
        <v>254</v>
      </c>
      <c r="C87" s="18">
        <v>0.0</v>
      </c>
      <c r="D87" s="18">
        <v>0.0</v>
      </c>
      <c r="E87" s="19">
        <v>0.0</v>
      </c>
      <c r="F87" s="19">
        <v>0.0</v>
      </c>
      <c r="G87" s="18">
        <v>0.0</v>
      </c>
      <c r="H87" s="18">
        <v>0.0</v>
      </c>
      <c r="I87" s="18">
        <v>0.0</v>
      </c>
      <c r="J87" s="19">
        <v>0.0</v>
      </c>
      <c r="K87" s="6">
        <f>C87*PV_UPDATE+D87*PV_DEPLOY+E87*PV_HELP+F87*PV_BLOG+G87*PV_PR+H87*PV_BUILDNIGHT+I87*PV_MENTOR+J87*PV_DEMO</f>
        <v>0</v>
      </c>
    </row>
    <row r="88" ht="15.75" customHeight="1">
      <c r="A88" s="7" t="s">
        <v>256</v>
      </c>
      <c r="B88" s="7" t="s">
        <v>257</v>
      </c>
      <c r="C88" s="18">
        <v>0.0</v>
      </c>
      <c r="D88" s="18">
        <v>0.0</v>
      </c>
      <c r="E88" s="19">
        <v>0.0</v>
      </c>
      <c r="F88" s="18">
        <v>0.0</v>
      </c>
      <c r="G88" s="19">
        <v>0.0</v>
      </c>
      <c r="H88" s="18">
        <v>0.0</v>
      </c>
      <c r="I88" s="18">
        <v>0.0</v>
      </c>
      <c r="J88" s="19">
        <v>0.0</v>
      </c>
      <c r="K88" s="6">
        <f>C88*PV_UPDATE+D88*PV_DEPLOY+E88*PV_HELP+F88*PV_BLOG+G88*PV_PR+H88*PV_BUILDNIGHT+I88*PV_MENTOR+J88*PV_DEMO</f>
        <v>0</v>
      </c>
    </row>
    <row r="89" ht="15.75" customHeight="1">
      <c r="A89" s="7" t="s">
        <v>258</v>
      </c>
      <c r="B89" s="7" t="s">
        <v>259</v>
      </c>
      <c r="C89" s="18">
        <v>0.0</v>
      </c>
      <c r="D89" s="18">
        <v>0.0</v>
      </c>
      <c r="E89" s="18">
        <v>0.0</v>
      </c>
      <c r="F89" s="19">
        <v>0.0</v>
      </c>
      <c r="G89" s="18">
        <v>0.0</v>
      </c>
      <c r="H89" s="18">
        <v>0.0</v>
      </c>
      <c r="I89" s="19">
        <v>0.0</v>
      </c>
      <c r="J89" s="19">
        <v>0.0</v>
      </c>
      <c r="K89" s="6">
        <f>C89*PV_UPDATE+D89*PV_DEPLOY+E89*PV_HELP+F89*PV_BLOG+G89*PV_PR+H89*PV_BUILDNIGHT+I89*PV_MENTOR+J89*PV_DEMO</f>
        <v>0</v>
      </c>
    </row>
    <row r="90" ht="15.75" customHeight="1">
      <c r="A90" s="7" t="s">
        <v>260</v>
      </c>
      <c r="B90" s="7" t="s">
        <v>261</v>
      </c>
      <c r="C90" s="18">
        <v>0.0</v>
      </c>
      <c r="D90" s="18">
        <v>0.0</v>
      </c>
      <c r="E90" s="19">
        <v>0.0</v>
      </c>
      <c r="F90" s="19">
        <v>0.0</v>
      </c>
      <c r="G90" s="18">
        <v>0.0</v>
      </c>
      <c r="H90" s="19">
        <v>0.0</v>
      </c>
      <c r="I90" s="18">
        <v>0.0</v>
      </c>
      <c r="J90" s="19">
        <v>0.0</v>
      </c>
      <c r="K90" s="6">
        <f>C90*PV_UPDATE+D90*PV_DEPLOY+E90*PV_HELP+F90*PV_BLOG+G90*PV_PR+H90*PV_BUILDNIGHT+I90*PV_MENTOR+J90*PV_DEMO</f>
        <v>0</v>
      </c>
    </row>
    <row r="91" ht="15.75" customHeight="1">
      <c r="A91" s="7" t="s">
        <v>262</v>
      </c>
      <c r="B91" s="7" t="s">
        <v>263</v>
      </c>
      <c r="C91" s="18">
        <v>0.0</v>
      </c>
      <c r="D91" s="18">
        <v>0.0</v>
      </c>
      <c r="E91" s="18">
        <v>0.0</v>
      </c>
      <c r="F91" s="19">
        <v>0.0</v>
      </c>
      <c r="G91" s="18">
        <v>0.0</v>
      </c>
      <c r="H91" s="19">
        <v>0.0</v>
      </c>
      <c r="I91" s="19">
        <v>0.0</v>
      </c>
      <c r="J91" s="19">
        <v>0.0</v>
      </c>
      <c r="K91" s="6">
        <f>C91*PV_UPDATE+D91*PV_DEPLOY+E91*PV_HELP+F91*PV_BLOG+G91*PV_PR+H91*PV_BUILDNIGHT+I91*PV_MENTOR+J91*PV_DEMO</f>
        <v>0</v>
      </c>
    </row>
    <row r="92" ht="15.75" customHeight="1">
      <c r="A92" s="7" t="s">
        <v>264</v>
      </c>
      <c r="B92" s="7" t="s">
        <v>265</v>
      </c>
      <c r="C92" s="18">
        <v>0.0</v>
      </c>
      <c r="D92" s="18">
        <v>0.0</v>
      </c>
      <c r="E92" s="19">
        <v>0.0</v>
      </c>
      <c r="F92" s="18">
        <v>0.0</v>
      </c>
      <c r="G92" s="18">
        <v>0.0</v>
      </c>
      <c r="H92" s="18">
        <v>0.0</v>
      </c>
      <c r="I92" s="18">
        <v>0.0</v>
      </c>
      <c r="J92" s="19">
        <v>0.0</v>
      </c>
      <c r="K92" s="6">
        <f>C92*PV_UPDATE+D92*PV_DEPLOY+E92*PV_HELP+F92*PV_BLOG+G92*PV_PR+H92*PV_BUILDNIGHT+I92*PV_MENTOR+J92*PV_DEMO</f>
        <v>0</v>
      </c>
    </row>
    <row r="93" ht="15.75" customHeight="1">
      <c r="A93" s="7" t="s">
        <v>266</v>
      </c>
      <c r="B93" s="7" t="s">
        <v>267</v>
      </c>
      <c r="C93" s="18">
        <v>0.0</v>
      </c>
      <c r="D93" s="18">
        <v>0.0</v>
      </c>
      <c r="E93" s="19">
        <v>0.0</v>
      </c>
      <c r="F93" s="19">
        <v>0.0</v>
      </c>
      <c r="G93" s="19">
        <v>0.0</v>
      </c>
      <c r="H93" s="18">
        <v>0.0</v>
      </c>
      <c r="I93" s="19">
        <v>0.0</v>
      </c>
      <c r="J93" s="19">
        <v>0.0</v>
      </c>
      <c r="K93" s="6">
        <f>C93*PV_UPDATE+D93*PV_DEPLOY+E93*PV_HELP+F93*PV_BLOG+G93*PV_PR+H93*PV_BUILDNIGHT+I93*PV_MENTOR+J93*PV_DEMO</f>
        <v>0</v>
      </c>
    </row>
    <row r="94" ht="15.75" customHeight="1">
      <c r="A94" s="7" t="s">
        <v>268</v>
      </c>
      <c r="B94" s="7" t="s">
        <v>269</v>
      </c>
      <c r="C94" s="18">
        <v>0.0</v>
      </c>
      <c r="D94" s="18">
        <v>0.0</v>
      </c>
      <c r="E94" s="19">
        <v>0.0</v>
      </c>
      <c r="F94" s="18">
        <v>0.0</v>
      </c>
      <c r="G94" s="18">
        <v>0.0</v>
      </c>
      <c r="H94" s="19">
        <v>0.0</v>
      </c>
      <c r="I94" s="18">
        <v>0.0</v>
      </c>
      <c r="J94" s="19">
        <v>0.0</v>
      </c>
      <c r="K94" s="6">
        <f>C94*PV_UPDATE+D94*PV_DEPLOY+E94*PV_HELP+F94*PV_BLOG+G94*PV_PR+H94*PV_BUILDNIGHT+I94*PV_MENTOR+J94*PV_DEMO</f>
        <v>0</v>
      </c>
    </row>
    <row r="95" ht="15.75" customHeight="1">
      <c r="A95" s="7" t="s">
        <v>270</v>
      </c>
      <c r="B95" s="7" t="s">
        <v>271</v>
      </c>
      <c r="C95" s="18">
        <v>0.0</v>
      </c>
      <c r="D95" s="18">
        <v>0.0</v>
      </c>
      <c r="E95" s="18">
        <v>0.0</v>
      </c>
      <c r="F95" s="19">
        <v>0.0</v>
      </c>
      <c r="G95" s="19">
        <v>0.0</v>
      </c>
      <c r="H95" s="18">
        <v>0.0</v>
      </c>
      <c r="I95" s="18">
        <v>0.0</v>
      </c>
      <c r="J95" s="19">
        <v>0.0</v>
      </c>
      <c r="K95" s="6">
        <f>C95*PV_UPDATE+D95*PV_DEPLOY+E95*PV_HELP+F95*PV_BLOG+G95*PV_PR+H95*PV_BUILDNIGHT+I95*PV_MENTOR+J95*PV_DEMO</f>
        <v>0</v>
      </c>
    </row>
    <row r="96" ht="15.75" customHeight="1">
      <c r="A96" s="7" t="s">
        <v>272</v>
      </c>
      <c r="B96" s="7" t="s">
        <v>273</v>
      </c>
      <c r="C96" s="18">
        <v>0.0</v>
      </c>
      <c r="D96" s="18">
        <v>0.0</v>
      </c>
      <c r="E96" s="19">
        <v>0.0</v>
      </c>
      <c r="F96" s="19">
        <v>0.0</v>
      </c>
      <c r="G96" s="18">
        <v>0.0</v>
      </c>
      <c r="H96" s="18">
        <v>0.0</v>
      </c>
      <c r="I96" s="19">
        <v>0.0</v>
      </c>
      <c r="J96" s="19">
        <v>0.0</v>
      </c>
      <c r="K96" s="6">
        <f>C96*PV_UPDATE+D96*PV_DEPLOY+E96*PV_HELP+F96*PV_BLOG+G96*PV_PR+H96*PV_BUILDNIGHT+I96*PV_MENTOR+J96*PV_DEMO</f>
        <v>0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