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Point_Values" sheetId="2" r:id="rId6"/>
    <sheet state="visible" name="Leaderboard" sheetId="3" r:id="rId7"/>
    <sheet state="visible" name="Teams" sheetId="4" r:id="rId8"/>
    <sheet state="visible" name="Members" sheetId="5" r:id="rId9"/>
    <sheet state="visible" name="Week1_Individual" sheetId="6" r:id="rId10"/>
    <sheet state="visible" name="Week2_Individual" sheetId="7" r:id="rId11"/>
    <sheet state="visible" name="Week3_Individual" sheetId="8" r:id="rId12"/>
    <sheet state="visible" name="Week4_Individual" sheetId="9" r:id="rId13"/>
    <sheet state="visible" name="Week5_Individual" sheetId="10" r:id="rId14"/>
    <sheet state="visible" name="Week6_Individual" sheetId="11" r:id="rId15"/>
    <sheet state="visible" name="Week1_Team" sheetId="12" r:id="rId16"/>
    <sheet state="visible" name="Week2_Team" sheetId="13" r:id="rId17"/>
    <sheet state="visible" name="Week3_Team" sheetId="14" r:id="rId18"/>
    <sheet state="visible" name="Week4_Team" sheetId="15" r:id="rId19"/>
    <sheet state="visible" name="Week5_Team" sheetId="16" r:id="rId20"/>
    <sheet state="visible" name="Week6_Team" sheetId="17" r:id="rId21"/>
  </sheets>
  <definedNames>
    <definedName name="PV_BLOG">Point_Values!$C$10</definedName>
    <definedName name="PV_PR">Point_Values!$C$11</definedName>
    <definedName name="PV_DEPLOY">Point_Values!$C$8</definedName>
    <definedName name="PV_SESSION">Point_Values!$C$4</definedName>
    <definedName name="PV_WIN">Point_Values!$C$6</definedName>
    <definedName name="PV_CHALLENGE">Point_Values!$C$5</definedName>
    <definedName name="PV_MENTOR">Point_Values!$C$13</definedName>
    <definedName name="PV_BUILDNIGHT">Point_Values!$C$12</definedName>
    <definedName name="PV_DEMO">Point_Values!$C$14</definedName>
    <definedName name="PV_UPDATE">Point_Values!$C$7</definedName>
    <definedName name="PV_HELP">Point_Values!$C$9</definedName>
    <definedName hidden="1" localSheetId="2" name="_xlnm._FilterDatabase">Leaderboard!$A$1:$K$96</definedName>
    <definedName hidden="1" localSheetId="11" name="_xlnm._FilterDatabase">Week1_Team!$A$1:$K$96</definedName>
  </definedNames>
  <calcPr/>
</workbook>
</file>

<file path=xl/sharedStrings.xml><?xml version="1.0" encoding="utf-8"?>
<sst xmlns="http://schemas.openxmlformats.org/spreadsheetml/2006/main" count="7967" uniqueCount="505">
  <si>
    <t>Hackathon Leaderboard — Backend Workbook</t>
  </si>
  <si>
    <t>WHAT THIS FILE IS</t>
  </si>
  <si>
    <t>This workbook is the backend for the 6-week leaderboard. Every weekly score is</t>
  </si>
  <si>
    <t>calculated automatically by formula — you only ever type numbers into the cream-</t>
  </si>
  <si>
    <t>colored input cells. Never type into white/grey cells; those hold formulas.</t>
  </si>
  <si>
    <t>HOW POINTS ARE SPLIT</t>
  </si>
  <si>
    <t>1) INDIVIDUAL activities (tracked per member, then AVERAGED into the team score):</t>
  </si>
  <si>
    <t xml:space="preserve">   - Attending a live session         -&gt; 5 pts / session</t>
  </si>
  <si>
    <t xml:space="preserve">   - Completing a mini-challenge       -&gt; 20 pts / challenge</t>
  </si>
  <si>
    <t xml:space="preserve">   - Winning a mini-challenge          -&gt; +30 pts bonus</t>
  </si>
  <si>
    <t xml:space="preserve">   Sheets: Week1_Individual ... Week6_Individual</t>
  </si>
  <si>
    <t xml:space="preserve">   Each row is one member. Type their counts for that week in columns E, F, G.</t>
  </si>
  <si>
    <t xml:space="preserve">   Column H auto-calculates that member's points. The Leaderboard sheet then</t>
  </si>
  <si>
    <t xml:space="preserve">   takes the AVERAGE of all members on a team for that week's individual score.</t>
  </si>
  <si>
    <t>2) TEAM activities (one set of numbers per TEAM, not per member):</t>
  </si>
  <si>
    <t xml:space="preserve">   - Weekly progress update            -&gt; 10 pts</t>
  </si>
  <si>
    <t xml:space="preserve">   - Deploying a working project       -&gt; 15 pts / deploy</t>
  </si>
  <si>
    <t xml:space="preserve">   - Helping another team (documented) -&gt; 10 pts / instance</t>
  </si>
  <si>
    <t xml:space="preserve">   - Writing a technical blog post     -&gt; 20 pts / post</t>
  </si>
  <si>
    <t xml:space="preserve">   - Open source PR merged             -&gt; 25 pts / PR</t>
  </si>
  <si>
    <t xml:space="preserve">   - Attending a Build Night           -&gt; 15 pts (min. 45 mins)</t>
  </si>
  <si>
    <t xml:space="preserve">   - Using a mentor hour slot          -&gt; 5 pts / slot</t>
  </si>
  <si>
    <t xml:space="preserve">   - Demo Day presentation             -&gt; 50 pts (baseline, 0 or 1)</t>
  </si>
  <si>
    <t xml:space="preserve">   Sheets: Week1_Team ... Week6_Team</t>
  </si>
  <si>
    <t xml:space="preserve">   Each row is one team. Type counts in the cream columns; Team Points (last</t>
  </si>
  <si>
    <t xml:space="preserve">   column) auto-calculates from the Point_Values sheet.</t>
  </si>
  <si>
    <t>3) LEADERBOARD sheet pulls everything together: for each week it adds</t>
  </si>
  <si>
    <t xml:space="preserve">   (average individual points for that team) + (that team's team points),</t>
  </si>
  <si>
    <t xml:space="preserve">   then sums all 6 weeks into a Total and ranks teams automatically.</t>
  </si>
  <si>
    <t>WEEKLY ROUTINE (do this once a week)</t>
  </si>
  <si>
    <t xml:space="preserve">   1. Open this week's _Individual sheet, fill in each member's counts.</t>
  </si>
  <si>
    <t xml:space="preserve">   2. Open this week's _Team sheet, fill in each team's counts.</t>
  </si>
  <si>
    <t xml:space="preserve">   3. Check the Leaderboard sheet — ranks update instantly.</t>
  </si>
  <si>
    <t xml:space="preserve">   4. Run `python xlsx_to_json.py` (in the same project folder as the website)</t>
  </si>
  <si>
    <t xml:space="preserve">      to refresh data.json, then push to GitHub — Vercel redeploys automatically.</t>
  </si>
  <si>
    <t>DEMO DATA</t>
  </si>
  <si>
    <t>Week 6 has sample numbers filled in so you can see the leaderboard and the</t>
  </si>
  <si>
    <t>website working end-to-end. Weeks 1-5 are at zero, ready for real data.</t>
  </si>
  <si>
    <t>Delete the Week 6 sample numbers whenever you are ready to start logging for real.</t>
  </si>
  <si>
    <t>Point Earning Table</t>
  </si>
  <si>
    <t>Type</t>
  </si>
  <si>
    <t>Activity</t>
  </si>
  <si>
    <t>Points</t>
  </si>
  <si>
    <t>Notes</t>
  </si>
  <si>
    <t>Individual</t>
  </si>
  <si>
    <t>Attending a live session</t>
  </si>
  <si>
    <t>per session, applied per member then averaged into team score</t>
  </si>
  <si>
    <t>Completing a mini-challenge</t>
  </si>
  <si>
    <t>per challenge, applied per member then averaged</t>
  </si>
  <si>
    <t>Winning a mini-challenge</t>
  </si>
  <si>
    <t>bonus on top of completion, per member then averaged</t>
  </si>
  <si>
    <t>Team</t>
  </si>
  <si>
    <t>Weekly progress update</t>
  </si>
  <si>
    <t>weekly | GitHub commit/Discord post + screenshot</t>
  </si>
  <si>
    <t>Deploying a working project/feature</t>
  </si>
  <si>
    <t>per deploy | live URL/screenshot required</t>
  </si>
  <si>
    <t>Helping another team (documented)</t>
  </si>
  <si>
    <t>per instance | verified via Discord tag</t>
  </si>
  <si>
    <t>Writing a technical blog post</t>
  </si>
  <si>
    <t>per post | Medium/Hashnode/Dev.to</t>
  </si>
  <si>
    <t>Open source PR (merged)</t>
  </si>
  <si>
    <t>per PR | must be merged</t>
  </si>
  <si>
    <t>Attending a Build Night</t>
  </si>
  <si>
    <t>min. 45 mins</t>
  </si>
  <si>
    <t>Using a mentor hour slot</t>
  </si>
  <si>
    <t>per slot</t>
  </si>
  <si>
    <t>Demo Day presentation</t>
  </si>
  <si>
    <t>baseline for all presenting teams</t>
  </si>
  <si>
    <t>Rank</t>
  </si>
  <si>
    <t>Team ID</t>
  </si>
  <si>
    <t>Team Name</t>
  </si>
  <si>
    <t>Domain Track</t>
  </si>
  <si>
    <t>Week 1</t>
  </si>
  <si>
    <t>Week 2</t>
  </si>
  <si>
    <t>Week 3</t>
  </si>
  <si>
    <t>Week 4</t>
  </si>
  <si>
    <t>Week 5</t>
  </si>
  <si>
    <t>Week 6</t>
  </si>
  <si>
    <t>Total Points</t>
  </si>
  <si>
    <t>UQ962GS0</t>
  </si>
  <si>
    <t>Hackherz</t>
  </si>
  <si>
    <t>AI+ Cloud</t>
  </si>
  <si>
    <t>UC3FP025</t>
  </si>
  <si>
    <t>Dominators</t>
  </si>
  <si>
    <t>U7Y7C00E</t>
  </si>
  <si>
    <t>Cloud Shout</t>
  </si>
  <si>
    <t>Unassigned</t>
  </si>
  <si>
    <t>UQN61X77</t>
  </si>
  <si>
    <t>Dameware</t>
  </si>
  <si>
    <t>U4V28K6Y</t>
  </si>
  <si>
    <t>THE KRAZY TEAM</t>
  </si>
  <si>
    <t>U7QW53P8</t>
  </si>
  <si>
    <t>BugSlayers</t>
  </si>
  <si>
    <t>UH146X8Q</t>
  </si>
  <si>
    <t>Zero degree</t>
  </si>
  <si>
    <t>Fullstack + Cloud</t>
  </si>
  <si>
    <t>U8QVR014</t>
  </si>
  <si>
    <t>Builders here</t>
  </si>
  <si>
    <t>U820U5BA</t>
  </si>
  <si>
    <t>HackEnds</t>
  </si>
  <si>
    <t>U9I2YU88</t>
  </si>
  <si>
    <t>Nari_Coders</t>
  </si>
  <si>
    <t>U4V88J8A</t>
  </si>
  <si>
    <t>Future Foundry</t>
  </si>
  <si>
    <t>UST5O599</t>
  </si>
  <si>
    <t>Git happens</t>
  </si>
  <si>
    <t>U53U6M3A</t>
  </si>
  <si>
    <t>Code Beyond</t>
  </si>
  <si>
    <t>U7V331YO</t>
  </si>
  <si>
    <t>Skygliders</t>
  </si>
  <si>
    <t>UI9658KQ</t>
  </si>
  <si>
    <t>CloudTitans</t>
  </si>
  <si>
    <t>US8T525I</t>
  </si>
  <si>
    <t>Phoenix</t>
  </si>
  <si>
    <t>UG5H4Z74</t>
  </si>
  <si>
    <t>Let's go</t>
  </si>
  <si>
    <t>UP7OJ428</t>
  </si>
  <si>
    <t>done n dusted</t>
  </si>
  <si>
    <t>UIK571R1</t>
  </si>
  <si>
    <t>Cipher</t>
  </si>
  <si>
    <t>UJW11Q64</t>
  </si>
  <si>
    <t>Heeyy</t>
  </si>
  <si>
    <t>U6418NTL</t>
  </si>
  <si>
    <t>New team</t>
  </si>
  <si>
    <t>U1O914XV</t>
  </si>
  <si>
    <t>Money Making Barbies</t>
  </si>
  <si>
    <t>UY761IM9</t>
  </si>
  <si>
    <t>Cloud Scout</t>
  </si>
  <si>
    <t>U896DB2C</t>
  </si>
  <si>
    <t>Innovaterss</t>
  </si>
  <si>
    <t>UV9618WK</t>
  </si>
  <si>
    <t>Team Gunjan</t>
  </si>
  <si>
    <t>UL9S57K0</t>
  </si>
  <si>
    <t>Xyz</t>
  </si>
  <si>
    <t>U73Y4AF2</t>
  </si>
  <si>
    <t>Candy</t>
  </si>
  <si>
    <t>U44C1PD0</t>
  </si>
  <si>
    <t>.</t>
  </si>
  <si>
    <t>UU539FI0</t>
  </si>
  <si>
    <t>Prompt2Cloud</t>
  </si>
  <si>
    <t>UV6332LD</t>
  </si>
  <si>
    <t>Byte Force</t>
  </si>
  <si>
    <t>U8S23V8D</t>
  </si>
  <si>
    <t>Team Diksha</t>
  </si>
  <si>
    <t>UL4TG272</t>
  </si>
  <si>
    <t>Jumbo</t>
  </si>
  <si>
    <t>U3E04G7B</t>
  </si>
  <si>
    <t>ABCXYZ</t>
  </si>
  <si>
    <t>U93L71HD</t>
  </si>
  <si>
    <t>Cloud_gazers</t>
  </si>
  <si>
    <t>U4974RSJ</t>
  </si>
  <si>
    <t>TechTitans</t>
  </si>
  <si>
    <t>UFT7C379</t>
  </si>
  <si>
    <t>Vectrix</t>
  </si>
  <si>
    <t>U7J8H4S3</t>
  </si>
  <si>
    <t>ctrl alt build</t>
  </si>
  <si>
    <t>U2388XLB</t>
  </si>
  <si>
    <t>CodeDummy</t>
  </si>
  <si>
    <t>U709PW1X</t>
  </si>
  <si>
    <t>aws_builders</t>
  </si>
  <si>
    <t>U99NP3B0</t>
  </si>
  <si>
    <t>HackDivas</t>
  </si>
  <si>
    <t>UF7676NK</t>
  </si>
  <si>
    <t>Coding niggas</t>
  </si>
  <si>
    <t>UX75DL60</t>
  </si>
  <si>
    <t>CakePops</t>
  </si>
  <si>
    <t>DevOps + Cloud</t>
  </si>
  <si>
    <t>U6Y8A0Z4</t>
  </si>
  <si>
    <t>Team BuildX</t>
  </si>
  <si>
    <t>UA6V09K0</t>
  </si>
  <si>
    <t>TechSpire</t>
  </si>
  <si>
    <t>U31J3Z6X</t>
  </si>
  <si>
    <t>SheDevs</t>
  </si>
  <si>
    <t>UUMR1961</t>
  </si>
  <si>
    <t>AWS Techies</t>
  </si>
  <si>
    <t>UQ2K98Y3</t>
  </si>
  <si>
    <t>S-Cubed</t>
  </si>
  <si>
    <t>UUQ8811S</t>
  </si>
  <si>
    <t>S3 squad</t>
  </si>
  <si>
    <t>U95GE69X</t>
  </si>
  <si>
    <t>Neural Ninjas</t>
  </si>
  <si>
    <t>U9QP1B31</t>
  </si>
  <si>
    <t>MindWeavers</t>
  </si>
  <si>
    <t>UP957ZX4</t>
  </si>
  <si>
    <t>TwinLogic</t>
  </si>
  <si>
    <t>U68P0J9W</t>
  </si>
  <si>
    <t>Depth Divers</t>
  </si>
  <si>
    <t>U7L6Z7B1</t>
  </si>
  <si>
    <t>Status-200</t>
  </si>
  <si>
    <t>U7DO32S0</t>
  </si>
  <si>
    <t>Team Yahvi</t>
  </si>
  <si>
    <t>U525L1JM</t>
  </si>
  <si>
    <t>Team Prisha</t>
  </si>
  <si>
    <t>U32PC0J8</t>
  </si>
  <si>
    <t>Codex</t>
  </si>
  <si>
    <t>U94GO9W5</t>
  </si>
  <si>
    <t>Buildnew</t>
  </si>
  <si>
    <t>U8U5ES81</t>
  </si>
  <si>
    <t>Dynamite</t>
  </si>
  <si>
    <t>U29K2MG5</t>
  </si>
  <si>
    <t>chaibiscuit</t>
  </si>
  <si>
    <t>U1B6FJ79</t>
  </si>
  <si>
    <t>Team Riya</t>
  </si>
  <si>
    <t>UW5B658X</t>
  </si>
  <si>
    <t>KaafiTezLog</t>
  </si>
  <si>
    <t>UI21Y89W</t>
  </si>
  <si>
    <t>Rankers</t>
  </si>
  <si>
    <t>U8D63B2V</t>
  </si>
  <si>
    <t>Neural Navigators</t>
  </si>
  <si>
    <t>UM2736AZ</t>
  </si>
  <si>
    <t>CloudWhisperers</t>
  </si>
  <si>
    <t>UEA4940S</t>
  </si>
  <si>
    <t>Team Preethi</t>
  </si>
  <si>
    <t>U5SI27P6</t>
  </si>
  <si>
    <t>Nexus stack</t>
  </si>
  <si>
    <t>UDFW3107</t>
  </si>
  <si>
    <t>Eureka</t>
  </si>
  <si>
    <t>U173XD9O</t>
  </si>
  <si>
    <t>Stack OverSlay</t>
  </si>
  <si>
    <t>UE54J30C</t>
  </si>
  <si>
    <t>snap2code</t>
  </si>
  <si>
    <t>UZ4O2X41</t>
  </si>
  <si>
    <t>The Last of Us</t>
  </si>
  <si>
    <t>UIA4824S</t>
  </si>
  <si>
    <t>Codestorm</t>
  </si>
  <si>
    <t>U3FB75S0</t>
  </si>
  <si>
    <t>Code &amp; Conquer</t>
  </si>
  <si>
    <t>U37EN39U</t>
  </si>
  <si>
    <t>Cloud 9ine</t>
  </si>
  <si>
    <t>UYV315Z9</t>
  </si>
  <si>
    <t>Certified YapBots</t>
  </si>
  <si>
    <t>USZ77L38</t>
  </si>
  <si>
    <t>Tech Titans</t>
  </si>
  <si>
    <t>U9N3L7V0</t>
  </si>
  <si>
    <t>Niggers</t>
  </si>
  <si>
    <t>U73Y1W1F</t>
  </si>
  <si>
    <t>aura</t>
  </si>
  <si>
    <t>UJ08Q83K</t>
  </si>
  <si>
    <t>Beach</t>
  </si>
  <si>
    <t>U3R134KL</t>
  </si>
  <si>
    <t>Crazors</t>
  </si>
  <si>
    <t>U2UF909B</t>
  </si>
  <si>
    <t>samosa chutney</t>
  </si>
  <si>
    <t>UL89U4Y9</t>
  </si>
  <si>
    <t>Infinite Loopers</t>
  </si>
  <si>
    <t>UL56UD19</t>
  </si>
  <si>
    <t>Code to Cloud</t>
  </si>
  <si>
    <t>UW3K5I48</t>
  </si>
  <si>
    <t>Code 201</t>
  </si>
  <si>
    <t>U186VJQ2</t>
  </si>
  <si>
    <t>Rising Stars</t>
  </si>
  <si>
    <t>UVQI5500</t>
  </si>
  <si>
    <t>Array of hope</t>
  </si>
  <si>
    <t>U0XF9I35</t>
  </si>
  <si>
    <t>Slayyers</t>
  </si>
  <si>
    <t>Cybersecurity + Cloud</t>
  </si>
  <si>
    <t>US745AB1</t>
  </si>
  <si>
    <t>AWS Avengers</t>
  </si>
  <si>
    <t>U95W7P7K</t>
  </si>
  <si>
    <t>Navigator</t>
  </si>
  <si>
    <t>U4M4KY56</t>
  </si>
  <si>
    <t>Avengers</t>
  </si>
  <si>
    <t>U9Z5L79N</t>
  </si>
  <si>
    <t>Alchemists</t>
  </si>
  <si>
    <t>U1SG813Q</t>
  </si>
  <si>
    <t>tomfoolery</t>
  </si>
  <si>
    <t>U712VO5M</t>
  </si>
  <si>
    <t>Sisbest</t>
  </si>
  <si>
    <t>U0VD93F7</t>
  </si>
  <si>
    <t>Inertia</t>
  </si>
  <si>
    <t>U4I32QD4</t>
  </si>
  <si>
    <t>CodeIT</t>
  </si>
  <si>
    <t>US4418KP</t>
  </si>
  <si>
    <t>QuadCore</t>
  </si>
  <si>
    <t>Team Size</t>
  </si>
  <si>
    <t>Code2Cloud</t>
  </si>
  <si>
    <t>Member Name</t>
  </si>
  <si>
    <t>Role</t>
  </si>
  <si>
    <t>shreyasi</t>
  </si>
  <si>
    <t>Team Leader</t>
  </si>
  <si>
    <t>Pranavi Mendriatta</t>
  </si>
  <si>
    <t>Team Member</t>
  </si>
  <si>
    <t>Sanjana</t>
  </si>
  <si>
    <t>Krishika Jain</t>
  </si>
  <si>
    <t>Swikriti Singh</t>
  </si>
  <si>
    <t>Aakriti Rajhans</t>
  </si>
  <si>
    <t>Richa Sukla</t>
  </si>
  <si>
    <t>Vani</t>
  </si>
  <si>
    <t>Sidhi</t>
  </si>
  <si>
    <t>Niharika</t>
  </si>
  <si>
    <t>Drishti Chaudhary</t>
  </si>
  <si>
    <t>Himani Singh</t>
  </si>
  <si>
    <t>Anoushka Gupta</t>
  </si>
  <si>
    <t>Divyam Mehra</t>
  </si>
  <si>
    <t>Muskan</t>
  </si>
  <si>
    <t>Kartik Tiwari</t>
  </si>
  <si>
    <t>Mannu Garg</t>
  </si>
  <si>
    <t>Harshita</t>
  </si>
  <si>
    <t>Khushi Verma</t>
  </si>
  <si>
    <t>Anushka Singh</t>
  </si>
  <si>
    <t>Astha Singh</t>
  </si>
  <si>
    <t>Anshika</t>
  </si>
  <si>
    <t>MEHAK VATS</t>
  </si>
  <si>
    <t>Sarika singh</t>
  </si>
  <si>
    <t>Urvi Dixit</t>
  </si>
  <si>
    <t>Sakshi Sanghavi</t>
  </si>
  <si>
    <t>Somya Tiwari</t>
  </si>
  <si>
    <t>Siddhi Garg</t>
  </si>
  <si>
    <t>Apoorva Kumar Jha</t>
  </si>
  <si>
    <t>Shreya Singh</t>
  </si>
  <si>
    <t>Shambhavi Garg</t>
  </si>
  <si>
    <t>Sonali Kumari Jha</t>
  </si>
  <si>
    <t>Tannavi Ranjan</t>
  </si>
  <si>
    <t>SURABHI SETHI</t>
  </si>
  <si>
    <t>MIMANSHA KUMAR</t>
  </si>
  <si>
    <t>Suhani Thakur</t>
  </si>
  <si>
    <t>Saanvi Guglani</t>
  </si>
  <si>
    <t>Ananshi</t>
  </si>
  <si>
    <t>JINAL AGARWAL</t>
  </si>
  <si>
    <t>Ishita Sharmaa</t>
  </si>
  <si>
    <t>Gauri Kumari</t>
  </si>
  <si>
    <t>Arni Goyal</t>
  </si>
  <si>
    <t>Manvi Sinha</t>
  </si>
  <si>
    <t>Divya Yadav</t>
  </si>
  <si>
    <t>Payal</t>
  </si>
  <si>
    <t>Priya Singh</t>
  </si>
  <si>
    <t>Manya Gupta</t>
  </si>
  <si>
    <t>Nikita Gupta Gupta</t>
  </si>
  <si>
    <t>Kashish Gupta</t>
  </si>
  <si>
    <t>Ria Saraswat</t>
  </si>
  <si>
    <t>Vanshika Tyagi</t>
  </si>
  <si>
    <t>Tanvi</t>
  </si>
  <si>
    <t>Samriddhi Srivastava</t>
  </si>
  <si>
    <t>Umesh Bijarniya</t>
  </si>
  <si>
    <t>Vanshika Aggarwal</t>
  </si>
  <si>
    <t>Mehar Kapoor</t>
  </si>
  <si>
    <t>Harleen Kaur</t>
  </si>
  <si>
    <t>Aditi Agarwal</t>
  </si>
  <si>
    <t>Vanshika Joshi</t>
  </si>
  <si>
    <t>Deepanshi Dhiman</t>
  </si>
  <si>
    <t>Gunjan Mittal</t>
  </si>
  <si>
    <t>Chanchal Yaduvanshi</t>
  </si>
  <si>
    <t>BHAWNA</t>
  </si>
  <si>
    <t>Anushka Aggarwal</t>
  </si>
  <si>
    <t>Amna Sehgal</t>
  </si>
  <si>
    <t>Priyesi Taneja</t>
  </si>
  <si>
    <t>Janhavi Sharma</t>
  </si>
  <si>
    <t>Siddhi Seth</t>
  </si>
  <si>
    <t>Diksha Hooda</t>
  </si>
  <si>
    <t>Rashi Choudhary</t>
  </si>
  <si>
    <t>Nancy Yadav</t>
  </si>
  <si>
    <t>Bhavya Bhardwaj</t>
  </si>
  <si>
    <t>Disha Garg</t>
  </si>
  <si>
    <t>Harshita Bharti</t>
  </si>
  <si>
    <t>TIYA SHARMA</t>
  </si>
  <si>
    <t>SAANVI MEHTA</t>
  </si>
  <si>
    <t>SHIVANSHI SINGH</t>
  </si>
  <si>
    <t>Saanvi Sarawat</t>
  </si>
  <si>
    <t>Pranjal Pandey</t>
  </si>
  <si>
    <t>Mansa Kaur</t>
  </si>
  <si>
    <t>Meghna Sharma</t>
  </si>
  <si>
    <t>Jayanti Goyal</t>
  </si>
  <si>
    <t>Varnika Yadav</t>
  </si>
  <si>
    <t>Yessica Malhotra</t>
  </si>
  <si>
    <t>Dhruv Malik</t>
  </si>
  <si>
    <t>Lakshita Aggarwal</t>
  </si>
  <si>
    <t>Akruti Tiwari</t>
  </si>
  <si>
    <t>Ridhima Kulashri</t>
  </si>
  <si>
    <t>Trisha</t>
  </si>
  <si>
    <t>Tripti</t>
  </si>
  <si>
    <t>Riya Gautam</t>
  </si>
  <si>
    <t>Kashish</t>
  </si>
  <si>
    <t>VARSHA</t>
  </si>
  <si>
    <t>Vanshika Vashistha</t>
  </si>
  <si>
    <t>Aakanksha Jha</t>
  </si>
  <si>
    <t>Vaishnavi Verma</t>
  </si>
  <si>
    <t>Naina Verma</t>
  </si>
  <si>
    <t>Aditi Shanker</t>
  </si>
  <si>
    <t>Srishti Sharma</t>
  </si>
  <si>
    <t>Shambhavi</t>
  </si>
  <si>
    <t>Sweety Gupta</t>
  </si>
  <si>
    <t>Mehak Sharma</t>
  </si>
  <si>
    <t>Kartik</t>
  </si>
  <si>
    <t>Lakshmi Prajapati</t>
  </si>
  <si>
    <t>JYOTI</t>
  </si>
  <si>
    <t>Siddiqua Abedeen</t>
  </si>
  <si>
    <t>Shristi Shukla</t>
  </si>
  <si>
    <t>Haseen Fatma</t>
  </si>
  <si>
    <t>Rupashi Maurya</t>
  </si>
  <si>
    <t>Gungun Jain</t>
  </si>
  <si>
    <t>Krati Mishra</t>
  </si>
  <si>
    <t>Priyanshi Saini</t>
  </si>
  <si>
    <t>Akansha Kukreti</t>
  </si>
  <si>
    <t>Gargi Choudhary</t>
  </si>
  <si>
    <t>Disha Sethi</t>
  </si>
  <si>
    <t>Medha Sharma</t>
  </si>
  <si>
    <t>Arunima Dayal</t>
  </si>
  <si>
    <t>Yahvi Pandey</t>
  </si>
  <si>
    <t>Prisha</t>
  </si>
  <si>
    <t>Prachi Singh</t>
  </si>
  <si>
    <t>Rashi</t>
  </si>
  <si>
    <t>Khushi Bidhuri</t>
  </si>
  <si>
    <t>Gitanshi Verma</t>
  </si>
  <si>
    <t>Vidushi Bhardwaj</t>
  </si>
  <si>
    <t>Riya Sharma</t>
  </si>
  <si>
    <t>Avni Arora</t>
  </si>
  <si>
    <t>Chhavi Mittal</t>
  </si>
  <si>
    <t>Jaina Pal</t>
  </si>
  <si>
    <t>Prerna Mehta</t>
  </si>
  <si>
    <t>Jia</t>
  </si>
  <si>
    <t>Mukul Mehta</t>
  </si>
  <si>
    <t>Bhoomi Shri</t>
  </si>
  <si>
    <t>Priyal Modi</t>
  </si>
  <si>
    <t>Yashmita Kumari</t>
  </si>
  <si>
    <t>Preethi V</t>
  </si>
  <si>
    <t>Nandini</t>
  </si>
  <si>
    <t>Malla Harini</t>
  </si>
  <si>
    <t>Shreeya Arora</t>
  </si>
  <si>
    <t>Angel Gautam</t>
  </si>
  <si>
    <t>Sanaya</t>
  </si>
  <si>
    <t>Anya Kansal</t>
  </si>
  <si>
    <t>Ashini Dewan</t>
  </si>
  <si>
    <t>Kanishka</t>
  </si>
  <si>
    <t>Lavanya</t>
  </si>
  <si>
    <t>Tanisha</t>
  </si>
  <si>
    <t>Megha Jha</t>
  </si>
  <si>
    <t>Abhishek</t>
  </si>
  <si>
    <t>Anurag Kumar Jha</t>
  </si>
  <si>
    <t>Ayush Raj</t>
  </si>
  <si>
    <t>Yogyata</t>
  </si>
  <si>
    <t>Dipanshu Sharma</t>
  </si>
  <si>
    <t>Juhi Chauhan</t>
  </si>
  <si>
    <t>Shivam</t>
  </si>
  <si>
    <t>Tanisha Kumari</t>
  </si>
  <si>
    <t>Vaishnavi</t>
  </si>
  <si>
    <t>Sakshi Chaudhary</t>
  </si>
  <si>
    <t>Kanishka Tyagi</t>
  </si>
  <si>
    <t>MANSHI RAWAT</t>
  </si>
  <si>
    <t>Kanika Khati</t>
  </si>
  <si>
    <t>Namrata</t>
  </si>
  <si>
    <t>Dikshita</t>
  </si>
  <si>
    <t>Prachi</t>
  </si>
  <si>
    <t>Radhika</t>
  </si>
  <si>
    <t>Vaibhav Ranjan</t>
  </si>
  <si>
    <t>Saurabh Gupta</t>
  </si>
  <si>
    <t>Karina Bataeva</t>
  </si>
  <si>
    <t>Siddhant Gahlot</t>
  </si>
  <si>
    <t>Parnita Singh</t>
  </si>
  <si>
    <t>Prachi Mann</t>
  </si>
  <si>
    <t>Ritu Sharma</t>
  </si>
  <si>
    <t>Pari</t>
  </si>
  <si>
    <t>Anchal Gupta</t>
  </si>
  <si>
    <t>Palak</t>
  </si>
  <si>
    <t>Vinayak Sharma</t>
  </si>
  <si>
    <t>Anuska Sharma</t>
  </si>
  <si>
    <t>Nancy Shaw</t>
  </si>
  <si>
    <t>Navya</t>
  </si>
  <si>
    <t>Manavi Sharma</t>
  </si>
  <si>
    <t>Yash Trivedi</t>
  </si>
  <si>
    <t>Vantika Agrawal</t>
  </si>
  <si>
    <t>Bhoomi Raj</t>
  </si>
  <si>
    <t>Sanvi Gautam</t>
  </si>
  <si>
    <t>Sneha Rani</t>
  </si>
  <si>
    <t>Olive</t>
  </si>
  <si>
    <t>Shruti Kumari</t>
  </si>
  <si>
    <t>Shivani Meena</t>
  </si>
  <si>
    <t>Yashi Yadav Yadav</t>
  </si>
  <si>
    <t>Vinni Kapoor</t>
  </si>
  <si>
    <t>Vaibhavi Srivastava</t>
  </si>
  <si>
    <t>Kashvi Sharma</t>
  </si>
  <si>
    <t>Kavya Verma</t>
  </si>
  <si>
    <t>Abhilasha Sharma</t>
  </si>
  <si>
    <t>Kuhu</t>
  </si>
  <si>
    <t>Palak Roy</t>
  </si>
  <si>
    <t>Riddhi Khattar</t>
  </si>
  <si>
    <t>Chaitrali Dattatray Waikar</t>
  </si>
  <si>
    <t>Ashmi Avinash Waydande</t>
  </si>
  <si>
    <t>Rakhi Vijay Singh</t>
  </si>
  <si>
    <t>Himanshi</t>
  </si>
  <si>
    <t>Anika Kulshreshtha</t>
  </si>
  <si>
    <t>Shivangi Gupta</t>
  </si>
  <si>
    <t>Shivam Kumar</t>
  </si>
  <si>
    <t>Kirti Shukla</t>
  </si>
  <si>
    <t>Gurleen Kaur</t>
  </si>
  <si>
    <t>Shruti Gupta</t>
  </si>
  <si>
    <t>Shreya Gupta</t>
  </si>
  <si>
    <t>Shreya Dwivedi</t>
  </si>
  <si>
    <t>Tiya Singh</t>
  </si>
  <si>
    <t>Priyanshi Jain</t>
  </si>
  <si>
    <t>Shriya Mohan</t>
  </si>
  <si>
    <t>Sessions Attended</t>
  </si>
  <si>
    <t>Mini-Challenges Completed</t>
  </si>
  <si>
    <t>Mini-Challenges Won</t>
  </si>
  <si>
    <t>Individual Points</t>
  </si>
  <si>
    <t>f</t>
  </si>
  <si>
    <t>Weekly Update (0/1)</t>
  </si>
  <si>
    <t>Deploys</t>
  </si>
  <si>
    <t>Helped Other Teams</t>
  </si>
  <si>
    <t>Blog Posts</t>
  </si>
  <si>
    <t>PRs Merged</t>
  </si>
  <si>
    <t>Build Nights Attended</t>
  </si>
  <si>
    <t>Mentor Hour Slots Used</t>
  </si>
  <si>
    <t>Demo Day (0/1)</t>
  </si>
  <si>
    <t>Team Points</t>
  </si>
  <si>
    <t>AWS TECHIES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</si>
</sst>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6.0"/>
      <color rgb="FF2B1D15"/>
      <name val="Arial"/>
    </font>
    <font>
      <sz val="10.0"/>
      <color theme="1"/>
      <name val="Arial"/>
    </font>
    <font>
      <b/>
      <sz val="11.0"/>
      <color rgb="FFFFFFFF"/>
      <name val="Arial"/>
    </font>
    <font>
      <b/>
      <sz val="10.0"/>
      <color theme="1"/>
      <name val="Arial"/>
    </font>
    <font>
      <b/>
      <sz val="10.0"/>
      <color rgb="FF2B1D15"/>
      <name val="Arial"/>
    </font>
    <font>
      <b/>
      <sz val="10.0"/>
      <color rgb="FF000000"/>
      <name val="Arial"/>
    </font>
    <font>
      <sz val="10.0"/>
      <color rgb="FF000000"/>
      <name val="Arial"/>
    </font>
    <font>
      <sz val="10.0"/>
      <color rgb="FFCC4125"/>
      <name val="Arial"/>
    </font>
    <font>
      <color rgb="FF000000"/>
      <name val="Calibri"/>
      <scheme val="minor"/>
    </font>
    <font>
      <sz val="10.0"/>
      <color rgb="FFA61C00"/>
      <name val="Arial"/>
    </font>
    <font>
      <sz val="10.0"/>
      <color rgb="FF1F4E78"/>
      <name val="Arial"/>
    </font>
    <font>
      <u/>
      <sz val="10.0"/>
      <color rgb="FF1F4E78"/>
      <name val="Arial"/>
    </font>
  </fonts>
  <fills count="5">
    <fill>
      <patternFill patternType="none"/>
    </fill>
    <fill>
      <patternFill patternType="lightGray"/>
    </fill>
    <fill>
      <patternFill patternType="solid">
        <fgColor rgb="FF2B1D15"/>
        <bgColor rgb="FF2B1D15"/>
      </patternFill>
    </fill>
    <fill>
      <patternFill patternType="solid">
        <fgColor rgb="FFE8A33D"/>
        <bgColor rgb="FFE8A33D"/>
      </patternFill>
    </fill>
    <fill>
      <patternFill patternType="solid">
        <fgColor rgb="FFFFF7E8"/>
        <bgColor rgb="FFFFF7E8"/>
      </patternFill>
    </fill>
  </fills>
  <borders count="2">
    <border/>
    <border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3" fontId="5" numFmtId="0" xfId="0" applyAlignment="1" applyBorder="1" applyFill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7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1" fillId="3" fontId="6" numFmtId="0" xfId="0" applyAlignment="1" applyBorder="1" applyFont="1">
      <alignment horizontal="center" shrinkToFit="0" vertical="bottom" wrapText="0"/>
    </xf>
    <xf borderId="0" fillId="0" fontId="9" numFmtId="0" xfId="0" applyFont="1"/>
    <xf borderId="1" fillId="0" fontId="10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4" fontId="11" numFmtId="0" xfId="0" applyAlignment="1" applyBorder="1" applyFill="1" applyFont="1">
      <alignment horizontal="center" readingOrder="0" shrinkToFit="0" vertical="bottom" wrapText="0"/>
    </xf>
    <xf borderId="1" fillId="4" fontId="11" numFmtId="0" xfId="0" applyAlignment="1" applyBorder="1" applyFont="1">
      <alignment horizontal="center" shrinkToFit="0" vertical="bottom" wrapText="0"/>
    </xf>
    <xf borderId="1" fillId="2" fontId="3" numFmtId="0" xfId="0" applyAlignment="1" applyBorder="1" applyFont="1">
      <alignment horizontal="center" readingOrder="0" shrinkToFit="0" vertical="center" wrapText="1"/>
    </xf>
    <xf borderId="1" fillId="4" fontId="12" numFmtId="0" xfId="0" applyAlignment="1" applyBorder="1" applyFon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1" t="s">
        <v>0</v>
      </c>
    </row>
    <row r="2">
      <c r="A2" s="2"/>
    </row>
    <row r="3">
      <c r="A3" s="2" t="s">
        <v>1</v>
      </c>
    </row>
    <row r="4">
      <c r="A4" s="2" t="s">
        <v>2</v>
      </c>
    </row>
    <row r="5">
      <c r="A5" s="2" t="s">
        <v>3</v>
      </c>
    </row>
    <row r="6">
      <c r="A6" s="2" t="s">
        <v>4</v>
      </c>
    </row>
    <row r="7">
      <c r="A7" s="2"/>
    </row>
    <row r="8">
      <c r="A8" s="2" t="s">
        <v>5</v>
      </c>
    </row>
    <row r="9">
      <c r="A9" s="2" t="s">
        <v>6</v>
      </c>
    </row>
    <row r="10">
      <c r="A10" s="2" t="s">
        <v>7</v>
      </c>
    </row>
    <row r="11">
      <c r="A11" s="2" t="s">
        <v>8</v>
      </c>
    </row>
    <row r="12">
      <c r="A12" s="2" t="s">
        <v>9</v>
      </c>
    </row>
    <row r="13">
      <c r="A13" s="2" t="s">
        <v>10</v>
      </c>
    </row>
    <row r="14">
      <c r="A14" s="2" t="s">
        <v>11</v>
      </c>
    </row>
    <row r="15">
      <c r="A15" s="2" t="s">
        <v>12</v>
      </c>
    </row>
    <row r="16">
      <c r="A16" s="2" t="s">
        <v>13</v>
      </c>
    </row>
    <row r="17">
      <c r="A17" s="2"/>
    </row>
    <row r="18">
      <c r="A18" s="2" t="s">
        <v>14</v>
      </c>
    </row>
    <row r="19">
      <c r="A19" s="2" t="s">
        <v>15</v>
      </c>
    </row>
    <row r="20">
      <c r="A20" s="2" t="s">
        <v>16</v>
      </c>
    </row>
    <row r="21" ht="15.75" customHeight="1">
      <c r="A21" s="2" t="s">
        <v>17</v>
      </c>
    </row>
    <row r="22" ht="15.75" customHeight="1">
      <c r="A22" s="2" t="s">
        <v>18</v>
      </c>
    </row>
    <row r="23" ht="15.75" customHeight="1">
      <c r="A23" s="2" t="s">
        <v>19</v>
      </c>
    </row>
    <row r="24" ht="15.75" customHeight="1">
      <c r="A24" s="2" t="s">
        <v>20</v>
      </c>
    </row>
    <row r="25" ht="15.75" customHeight="1">
      <c r="A25" s="2" t="s">
        <v>21</v>
      </c>
    </row>
    <row r="26" ht="15.75" customHeight="1">
      <c r="A26" s="2" t="s">
        <v>22</v>
      </c>
    </row>
    <row r="27" ht="15.75" customHeight="1">
      <c r="A27" s="2" t="s">
        <v>23</v>
      </c>
    </row>
    <row r="28" ht="15.75" customHeight="1">
      <c r="A28" s="2" t="s">
        <v>24</v>
      </c>
    </row>
    <row r="29" ht="15.75" customHeight="1">
      <c r="A29" s="2" t="s">
        <v>25</v>
      </c>
    </row>
    <row r="30" ht="15.75" customHeight="1">
      <c r="A30" s="2"/>
    </row>
    <row r="31" ht="15.75" customHeight="1">
      <c r="A31" s="2" t="s">
        <v>26</v>
      </c>
    </row>
    <row r="32" ht="15.75" customHeight="1">
      <c r="A32" s="2" t="s">
        <v>27</v>
      </c>
    </row>
    <row r="33" ht="15.75" customHeight="1">
      <c r="A33" s="2" t="s">
        <v>28</v>
      </c>
    </row>
    <row r="34" ht="15.75" customHeight="1">
      <c r="A34" s="2"/>
    </row>
    <row r="35" ht="15.75" customHeight="1">
      <c r="A35" s="2" t="s">
        <v>29</v>
      </c>
    </row>
    <row r="36" ht="15.75" customHeight="1">
      <c r="A36" s="2" t="s">
        <v>30</v>
      </c>
    </row>
    <row r="37" ht="15.75" customHeight="1">
      <c r="A37" s="2" t="s">
        <v>31</v>
      </c>
    </row>
    <row r="38" ht="15.75" customHeight="1">
      <c r="A38" s="2" t="s">
        <v>32</v>
      </c>
    </row>
    <row r="39" ht="15.75" customHeight="1">
      <c r="A39" s="2" t="s">
        <v>33</v>
      </c>
    </row>
    <row r="40" ht="15.75" customHeight="1">
      <c r="A40" s="2" t="s">
        <v>34</v>
      </c>
    </row>
    <row r="41" ht="15.75" customHeight="1">
      <c r="A41" s="2"/>
    </row>
    <row r="42" ht="15.75" customHeight="1">
      <c r="A42" s="2" t="s">
        <v>35</v>
      </c>
    </row>
    <row r="43" ht="15.75" customHeight="1">
      <c r="A43" s="2" t="s">
        <v>36</v>
      </c>
    </row>
    <row r="44" ht="15.75" customHeight="1">
      <c r="A44" s="2" t="s">
        <v>37</v>
      </c>
    </row>
    <row r="45" ht="15.75" customHeight="1">
      <c r="A45" s="2" t="s">
        <v>38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38.0"/>
    <col customWidth="1" min="3" max="3" width="9.0"/>
    <col customWidth="1" min="4" max="4" width="55.0"/>
    <col customWidth="1" min="5" max="26" width="8.71"/>
  </cols>
  <sheetData>
    <row r="1">
      <c r="A1" s="1" t="s">
        <v>39</v>
      </c>
    </row>
    <row r="3">
      <c r="A3" s="3" t="s">
        <v>40</v>
      </c>
      <c r="B3" s="3" t="s">
        <v>41</v>
      </c>
      <c r="C3" s="3" t="s">
        <v>42</v>
      </c>
      <c r="D3" s="3" t="s">
        <v>43</v>
      </c>
    </row>
    <row r="4">
      <c r="A4" s="4" t="s">
        <v>44</v>
      </c>
      <c r="B4" s="4" t="s">
        <v>45</v>
      </c>
      <c r="C4" s="5">
        <v>5.0</v>
      </c>
      <c r="D4" s="4" t="s">
        <v>46</v>
      </c>
    </row>
    <row r="5">
      <c r="A5" s="4" t="s">
        <v>44</v>
      </c>
      <c r="B5" s="4" t="s">
        <v>47</v>
      </c>
      <c r="C5" s="5">
        <v>20.0</v>
      </c>
      <c r="D5" s="4" t="s">
        <v>48</v>
      </c>
    </row>
    <row r="6">
      <c r="A6" s="4" t="s">
        <v>44</v>
      </c>
      <c r="B6" s="4" t="s">
        <v>49</v>
      </c>
      <c r="C6" s="5">
        <v>30.0</v>
      </c>
      <c r="D6" s="4" t="s">
        <v>50</v>
      </c>
    </row>
    <row r="7">
      <c r="A7" s="4" t="s">
        <v>51</v>
      </c>
      <c r="B7" s="4" t="s">
        <v>52</v>
      </c>
      <c r="C7" s="5">
        <v>10.0</v>
      </c>
      <c r="D7" s="4" t="s">
        <v>53</v>
      </c>
    </row>
    <row r="8">
      <c r="A8" s="4" t="s">
        <v>51</v>
      </c>
      <c r="B8" s="4" t="s">
        <v>54</v>
      </c>
      <c r="C8" s="5">
        <v>15.0</v>
      </c>
      <c r="D8" s="4" t="s">
        <v>55</v>
      </c>
    </row>
    <row r="9">
      <c r="A9" s="4" t="s">
        <v>51</v>
      </c>
      <c r="B9" s="4" t="s">
        <v>56</v>
      </c>
      <c r="C9" s="5">
        <v>10.0</v>
      </c>
      <c r="D9" s="4" t="s">
        <v>57</v>
      </c>
    </row>
    <row r="10">
      <c r="A10" s="4" t="s">
        <v>51</v>
      </c>
      <c r="B10" s="4" t="s">
        <v>58</v>
      </c>
      <c r="C10" s="5">
        <v>20.0</v>
      </c>
      <c r="D10" s="4" t="s">
        <v>59</v>
      </c>
    </row>
    <row r="11">
      <c r="A11" s="4" t="s">
        <v>51</v>
      </c>
      <c r="B11" s="4" t="s">
        <v>60</v>
      </c>
      <c r="C11" s="5">
        <v>25.0</v>
      </c>
      <c r="D11" s="4" t="s">
        <v>61</v>
      </c>
    </row>
    <row r="12">
      <c r="A12" s="4" t="s">
        <v>51</v>
      </c>
      <c r="B12" s="4" t="s">
        <v>62</v>
      </c>
      <c r="C12" s="5">
        <v>15.0</v>
      </c>
      <c r="D12" s="4" t="s">
        <v>63</v>
      </c>
    </row>
    <row r="13">
      <c r="A13" s="4" t="s">
        <v>51</v>
      </c>
      <c r="B13" s="4" t="s">
        <v>64</v>
      </c>
      <c r="C13" s="5">
        <v>5.0</v>
      </c>
      <c r="D13" s="4" t="s">
        <v>65</v>
      </c>
    </row>
    <row r="14">
      <c r="A14" s="4" t="s">
        <v>51</v>
      </c>
      <c r="B14" s="4" t="s">
        <v>66</v>
      </c>
      <c r="C14" s="5">
        <v>50.0</v>
      </c>
      <c r="D14" s="4" t="s">
        <v>67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7.0"/>
    <col customWidth="1" min="2" max="2" width="12.0"/>
    <col customWidth="1" min="3" max="3" width="26.0"/>
    <col customWidth="1" min="4" max="4" width="18.0"/>
    <col customWidth="1" min="5" max="10" width="9.0"/>
    <col customWidth="1" min="11" max="11" width="13.0"/>
    <col customWidth="1" min="12" max="26" width="8.71"/>
  </cols>
  <sheetData>
    <row r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>
      <c r="A2" s="6">
        <f t="shared" ref="A2:A96" si="1">RANK($K2,$K$2:$K$96)</f>
        <v>3</v>
      </c>
      <c r="B2" s="7" t="s">
        <v>79</v>
      </c>
      <c r="C2" s="7" t="s">
        <v>80</v>
      </c>
      <c r="D2" s="7" t="s">
        <v>81</v>
      </c>
      <c r="E2" s="5">
        <f>ROUND(IFERROR(AVERAGEIF(Week1_Individual!$B:$B,$C2,Week1_Individual!$H:$H),0)+IFERROR(VLOOKUP($C2,Week1_Team!$B:$K,10,FALSE()),0),1)</f>
        <v>82.5</v>
      </c>
      <c r="F2" s="5">
        <f>ROUND(IFERROR(AVERAGEIF(Week2_Individual!$B:$B,$C2,Week2_Individual!$H:$H),0)+IFERROR(VLOOKUP($C2,Week2_Team!$B:$K,10,FALSE()),0),1)</f>
        <v>165</v>
      </c>
      <c r="G2" s="5">
        <f>ROUND(IFERROR(AVERAGEIF(Week3_Individual!$B:$B,$C2,Week3_Individual!$H:$H),0)+IFERROR(VLOOKUP($C2,Week3_Team!$B:$K,10,FALSE()),0),1)</f>
        <v>0</v>
      </c>
      <c r="H2" s="5">
        <f>ROUND(IFERROR(AVERAGEIF(Week4_Individual!$B:$B,$C2,Week4_Individual!$H:$H),0)+IFERROR(VLOOKUP($C2,Week4_Team!$B:$K,10,FALSE()),0),1)</f>
        <v>0</v>
      </c>
      <c r="I2" s="5">
        <f>ROUND(IFERROR(AVERAGEIF(Week5_Individual!$B:$B,$C2,Week5_Individual!$H:$H),0)+IFERROR(VLOOKUP($C2,Week5_Team!$B:$K,10,FALSE()),0),1)</f>
        <v>0</v>
      </c>
      <c r="J2" s="8">
        <v>0.0</v>
      </c>
      <c r="K2" s="9">
        <f t="shared" ref="K2:K96" si="2">SUM(E2:J2)</f>
        <v>247.5</v>
      </c>
    </row>
    <row r="3">
      <c r="A3" s="6">
        <f t="shared" si="1"/>
        <v>1</v>
      </c>
      <c r="B3" s="7" t="s">
        <v>82</v>
      </c>
      <c r="C3" s="7" t="s">
        <v>83</v>
      </c>
      <c r="D3" s="7" t="s">
        <v>81</v>
      </c>
      <c r="E3" s="5">
        <f>ROUND(IFERROR(AVERAGEIF(Week1_Individual!$B:$B,$C3,Week1_Individual!$H:$H),0)+IFERROR(VLOOKUP($C3,Week1_Team!$B:$K,10,FALSE()),0),1)</f>
        <v>85</v>
      </c>
      <c r="F3" s="5">
        <f>ROUND(IFERROR(AVERAGEIF(Week2_Individual!$B:$B,$C3,Week2_Individual!$H:$H),0)+IFERROR(VLOOKUP($C3,Week2_Team!$B:$K,10,FALSE()),0),1)</f>
        <v>165</v>
      </c>
      <c r="G3" s="5">
        <f>ROUND(IFERROR(AVERAGEIF(Week3_Individual!$B:$B,$C3,Week3_Individual!$H:$H),0)+IFERROR(VLOOKUP($C3,Week3_Team!$B:$K,10,FALSE()),0),1)</f>
        <v>0</v>
      </c>
      <c r="H3" s="5">
        <f>ROUND(IFERROR(AVERAGEIF(Week4_Individual!$B:$B,$C3,Week4_Individual!$H:$H),0)+IFERROR(VLOOKUP($C3,Week4_Team!$B:$K,10,FALSE()),0),1)</f>
        <v>0</v>
      </c>
      <c r="I3" s="5">
        <f>ROUND(IFERROR(AVERAGEIF(Week5_Individual!$B:$B,$C3,Week5_Individual!$H:$H),0)+IFERROR(VLOOKUP($C3,Week5_Team!$B:$K,10,FALSE()),0),1)</f>
        <v>0</v>
      </c>
      <c r="J3" s="8">
        <v>0.0</v>
      </c>
      <c r="K3" s="9">
        <f t="shared" si="2"/>
        <v>250</v>
      </c>
    </row>
    <row r="4">
      <c r="A4" s="10">
        <f t="shared" si="1"/>
        <v>46</v>
      </c>
      <c r="B4" s="11" t="s">
        <v>84</v>
      </c>
      <c r="C4" s="12" t="s">
        <v>85</v>
      </c>
      <c r="D4" s="11" t="s">
        <v>86</v>
      </c>
      <c r="E4" s="13">
        <f>ROUND(IFERROR(AVERAGEIF(Week1_Individual!$B:$B,$C4,Week1_Individual!$H:$H),0)+IFERROR(VLOOKUP($C4,Week1_Team!$B:$K,10,FALSE()),0),1)</f>
        <v>0</v>
      </c>
      <c r="F4" s="13">
        <f>ROUND(IFERROR(AVERAGEIF(Week2_Individual!$B:$B,$C4,Week2_Individual!$H:$H),0)+IFERROR(VLOOKUP($C4,Week2_Team!$B:$K,10,FALSE()),0),1)</f>
        <v>0</v>
      </c>
      <c r="G4" s="13">
        <f>ROUND(IFERROR(AVERAGEIF(Week3_Individual!$B:$B,$C4,Week3_Individual!$H:$H),0)+IFERROR(VLOOKUP($C4,Week3_Team!$B:$K,10,FALSE()),0),1)</f>
        <v>0</v>
      </c>
      <c r="H4" s="13">
        <f>ROUND(IFERROR(AVERAGEIF(Week4_Individual!$B:$B,$C4,Week4_Individual!$H:$H),0)+IFERROR(VLOOKUP($C4,Week4_Team!$B:$K,10,FALSE()),0),1)</f>
        <v>0</v>
      </c>
      <c r="I4" s="13">
        <f>ROUND(IFERROR(AVERAGEIF(Week5_Individual!$B:$B,$C4,Week5_Individual!$H:$H),0)+IFERROR(VLOOKUP($C4,Week5_Team!$B:$K,10,FALSE()),0),1)</f>
        <v>0</v>
      </c>
      <c r="J4" s="8">
        <v>0.0</v>
      </c>
      <c r="K4" s="14">
        <f t="shared" si="2"/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6">
        <f t="shared" si="1"/>
        <v>28</v>
      </c>
      <c r="B5" s="7" t="s">
        <v>87</v>
      </c>
      <c r="C5" s="7" t="s">
        <v>88</v>
      </c>
      <c r="D5" s="7" t="s">
        <v>81</v>
      </c>
      <c r="E5" s="5">
        <f>ROUND(IFERROR(AVERAGEIF(Week1_Individual!$B:$B,$C5,Week1_Individual!$H:$H),0)+IFERROR(VLOOKUP($C5,Week1_Team!$B:$K,10,FALSE()),0),1)</f>
        <v>10</v>
      </c>
      <c r="F5" s="5">
        <f>ROUND(IFERROR(AVERAGEIF(Week2_Individual!$B:$B,$C5,Week2_Individual!$H:$H),0)+IFERROR(VLOOKUP($C5,Week2_Team!$B:$K,10,FALSE()),0),1)</f>
        <v>20</v>
      </c>
      <c r="G5" s="5">
        <f>ROUND(IFERROR(AVERAGEIF(Week3_Individual!$B:$B,$C5,Week3_Individual!$H:$H),0)+IFERROR(VLOOKUP($C5,Week3_Team!$B:$K,10,FALSE()),0),1)</f>
        <v>0</v>
      </c>
      <c r="H5" s="5">
        <f>ROUND(IFERROR(AVERAGEIF(Week4_Individual!$B:$B,$C5,Week4_Individual!$H:$H),0)+IFERROR(VLOOKUP($C5,Week4_Team!$B:$K,10,FALSE()),0),1)</f>
        <v>0</v>
      </c>
      <c r="I5" s="5">
        <f>ROUND(IFERROR(AVERAGEIF(Week5_Individual!$B:$B,$C5,Week5_Individual!$H:$H),0)+IFERROR(VLOOKUP($C5,Week5_Team!$B:$K,10,FALSE()),0),1)</f>
        <v>0</v>
      </c>
      <c r="J5" s="8">
        <v>0.0</v>
      </c>
      <c r="K5" s="9">
        <f t="shared" si="2"/>
        <v>30</v>
      </c>
    </row>
    <row r="6">
      <c r="A6" s="6">
        <f t="shared" si="1"/>
        <v>46</v>
      </c>
      <c r="B6" s="7" t="s">
        <v>89</v>
      </c>
      <c r="C6" s="7" t="s">
        <v>90</v>
      </c>
      <c r="D6" s="7" t="s">
        <v>81</v>
      </c>
      <c r="E6" s="5">
        <f>ROUND(IFERROR(AVERAGEIF(Week1_Individual!$B:$B,$C6,Week1_Individual!$H:$H),0)+IFERROR(VLOOKUP($C6,Week1_Team!$B:$K,10,FALSE()),0),1)</f>
        <v>0</v>
      </c>
      <c r="F6" s="5">
        <f>ROUND(IFERROR(AVERAGEIF(Week2_Individual!$B:$B,$C6,Week2_Individual!$H:$H),0)+IFERROR(VLOOKUP($C6,Week2_Team!$B:$K,10,FALSE()),0),1)</f>
        <v>0</v>
      </c>
      <c r="G6" s="5">
        <f>ROUND(IFERROR(AVERAGEIF(Week3_Individual!$B:$B,$C6,Week3_Individual!$H:$H),0)+IFERROR(VLOOKUP($C6,Week3_Team!$B:$K,10,FALSE()),0),1)</f>
        <v>0</v>
      </c>
      <c r="H6" s="5">
        <f>ROUND(IFERROR(AVERAGEIF(Week4_Individual!$B:$B,$C6,Week4_Individual!$H:$H),0)+IFERROR(VLOOKUP($C6,Week4_Team!$B:$K,10,FALSE()),0),1)</f>
        <v>0</v>
      </c>
      <c r="I6" s="5">
        <f>ROUND(IFERROR(AVERAGEIF(Week5_Individual!$B:$B,$C6,Week5_Individual!$H:$H),0)+IFERROR(VLOOKUP($C6,Week5_Team!$B:$K,10,FALSE()),0),1)</f>
        <v>0</v>
      </c>
      <c r="J6" s="8">
        <v>0.0</v>
      </c>
      <c r="K6" s="9">
        <f t="shared" si="2"/>
        <v>0</v>
      </c>
    </row>
    <row r="7">
      <c r="A7" s="6">
        <f t="shared" si="1"/>
        <v>31</v>
      </c>
      <c r="B7" s="7" t="s">
        <v>91</v>
      </c>
      <c r="C7" s="7" t="s">
        <v>92</v>
      </c>
      <c r="D7" s="7" t="s">
        <v>81</v>
      </c>
      <c r="E7" s="5">
        <f>ROUND(IFERROR(AVERAGEIF(Week1_Individual!$B:$B,$C7,Week1_Individual!$H:$H),0)+IFERROR(VLOOKUP($C7,Week1_Team!$B:$K,10,FALSE()),0),1)</f>
        <v>0</v>
      </c>
      <c r="F7" s="5">
        <f>ROUND(IFERROR(AVERAGEIF(Week2_Individual!$B:$B,$C7,Week2_Individual!$H:$H),0)+IFERROR(VLOOKUP($C7,Week2_Team!$B:$K,10,FALSE()),0),1)</f>
        <v>20</v>
      </c>
      <c r="G7" s="5">
        <f>ROUND(IFERROR(AVERAGEIF(Week3_Individual!$B:$B,$C7,Week3_Individual!$H:$H),0)+IFERROR(VLOOKUP($C7,Week3_Team!$B:$K,10,FALSE()),0),1)</f>
        <v>0</v>
      </c>
      <c r="H7" s="5">
        <f>ROUND(IFERROR(AVERAGEIF(Week4_Individual!$B:$B,$C7,Week4_Individual!$H:$H),0)+IFERROR(VLOOKUP($C7,Week4_Team!$B:$K,10,FALSE()),0),1)</f>
        <v>0</v>
      </c>
      <c r="I7" s="5">
        <f>ROUND(IFERROR(AVERAGEIF(Week5_Individual!$B:$B,$C7,Week5_Individual!$H:$H),0)+IFERROR(VLOOKUP($C7,Week5_Team!$B:$K,10,FALSE()),0),1)</f>
        <v>0</v>
      </c>
      <c r="J7" s="8">
        <v>0.0</v>
      </c>
      <c r="K7" s="9">
        <f t="shared" si="2"/>
        <v>20</v>
      </c>
    </row>
    <row r="8">
      <c r="A8" s="6">
        <f t="shared" si="1"/>
        <v>13</v>
      </c>
      <c r="B8" s="7" t="s">
        <v>93</v>
      </c>
      <c r="C8" s="7" t="s">
        <v>94</v>
      </c>
      <c r="D8" s="7" t="s">
        <v>95</v>
      </c>
      <c r="E8" s="5">
        <f>ROUND(IFERROR(AVERAGEIF(Week1_Individual!$B:$B,$C8,Week1_Individual!$H:$H),0)+IFERROR(VLOOKUP($C8,Week1_Team!$B:$K,10,FALSE()),0),1)</f>
        <v>50</v>
      </c>
      <c r="F8" s="5">
        <f>ROUND(IFERROR(AVERAGEIF(Week2_Individual!$B:$B,$C8,Week2_Individual!$H:$H),0)+IFERROR(VLOOKUP($C8,Week2_Team!$B:$K,10,FALSE()),0),1)</f>
        <v>130</v>
      </c>
      <c r="G8" s="5">
        <f>ROUND(IFERROR(AVERAGEIF(Week3_Individual!$B:$B,$C8,Week3_Individual!$H:$H),0)+IFERROR(VLOOKUP($C8,Week3_Team!$B:$K,10,FALSE()),0),1)</f>
        <v>0</v>
      </c>
      <c r="H8" s="5">
        <f>ROUND(IFERROR(AVERAGEIF(Week4_Individual!$B:$B,$C8,Week4_Individual!$H:$H),0)+IFERROR(VLOOKUP($C8,Week4_Team!$B:$K,10,FALSE()),0),1)</f>
        <v>0</v>
      </c>
      <c r="I8" s="5">
        <f>ROUND(IFERROR(AVERAGEIF(Week5_Individual!$B:$B,$C8,Week5_Individual!$H:$H),0)+IFERROR(VLOOKUP($C8,Week5_Team!$B:$K,10,FALSE()),0),1)</f>
        <v>0</v>
      </c>
      <c r="J8" s="8">
        <v>0.0</v>
      </c>
      <c r="K8" s="9">
        <f t="shared" si="2"/>
        <v>180</v>
      </c>
    </row>
    <row r="9">
      <c r="A9" s="6">
        <f t="shared" si="1"/>
        <v>25</v>
      </c>
      <c r="B9" s="7" t="s">
        <v>96</v>
      </c>
      <c r="C9" s="7" t="s">
        <v>97</v>
      </c>
      <c r="D9" s="7" t="s">
        <v>81</v>
      </c>
      <c r="E9" s="5">
        <f>ROUND(IFERROR(AVERAGEIF(Week1_Individual!$B:$B,$C9,Week1_Individual!$H:$H),0)+IFERROR(VLOOKUP($C9,Week1_Team!$B:$K,10,FALSE()),0),1)</f>
        <v>0</v>
      </c>
      <c r="F9" s="5">
        <f>ROUND(IFERROR(AVERAGEIF(Week2_Individual!$B:$B,$C9,Week2_Individual!$H:$H),0)+IFERROR(VLOOKUP($C9,Week2_Team!$B:$K,10,FALSE()),0),1)</f>
        <v>40</v>
      </c>
      <c r="G9" s="5">
        <f>ROUND(IFERROR(AVERAGEIF(Week3_Individual!$B:$B,$C9,Week3_Individual!$H:$H),0)+IFERROR(VLOOKUP($C9,Week3_Team!$B:$K,10,FALSE()),0),1)</f>
        <v>0</v>
      </c>
      <c r="H9" s="5">
        <f>ROUND(IFERROR(AVERAGEIF(Week4_Individual!$B:$B,$C9,Week4_Individual!$H:$H),0)+IFERROR(VLOOKUP($C9,Week4_Team!$B:$K,10,FALSE()),0),1)</f>
        <v>0</v>
      </c>
      <c r="I9" s="5">
        <f>ROUND(IFERROR(AVERAGEIF(Week5_Individual!$B:$B,$C9,Week5_Individual!$H:$H),0)+IFERROR(VLOOKUP($C9,Week5_Team!$B:$K,10,FALSE()),0),1)</f>
        <v>0</v>
      </c>
      <c r="J9" s="8">
        <v>0.0</v>
      </c>
      <c r="K9" s="9">
        <f t="shared" si="2"/>
        <v>40</v>
      </c>
    </row>
    <row r="10">
      <c r="A10" s="6">
        <f t="shared" si="1"/>
        <v>35</v>
      </c>
      <c r="B10" s="7" t="s">
        <v>98</v>
      </c>
      <c r="C10" s="7" t="s">
        <v>99</v>
      </c>
      <c r="D10" s="7" t="s">
        <v>95</v>
      </c>
      <c r="E10" s="5">
        <f>ROUND(IFERROR(AVERAGEIF(Week1_Individual!$B:$B,$C10,Week1_Individual!$H:$H),0)+IFERROR(VLOOKUP($C10,Week1_Team!$B:$K,10,FALSE()),0),1)</f>
        <v>10</v>
      </c>
      <c r="F10" s="5">
        <f>ROUND(IFERROR(AVERAGEIF(Week2_Individual!$B:$B,$C10,Week2_Individual!$H:$H),0)+IFERROR(VLOOKUP($C10,Week2_Team!$B:$K,10,FALSE()),0),1)</f>
        <v>0</v>
      </c>
      <c r="G10" s="5">
        <f>ROUND(IFERROR(AVERAGEIF(Week3_Individual!$B:$B,$C10,Week3_Individual!$H:$H),0)+IFERROR(VLOOKUP($C10,Week3_Team!$B:$K,10,FALSE()),0),1)</f>
        <v>0</v>
      </c>
      <c r="H10" s="5">
        <f>ROUND(IFERROR(AVERAGEIF(Week4_Individual!$B:$B,$C10,Week4_Individual!$H:$H),0)+IFERROR(VLOOKUP($C10,Week4_Team!$B:$K,10,FALSE()),0),1)</f>
        <v>0</v>
      </c>
      <c r="I10" s="5">
        <f>ROUND(IFERROR(AVERAGEIF(Week5_Individual!$B:$B,$C10,Week5_Individual!$H:$H),0)+IFERROR(VLOOKUP($C10,Week5_Team!$B:$K,10,FALSE()),0),1)</f>
        <v>0</v>
      </c>
      <c r="J10" s="8">
        <v>0.0</v>
      </c>
      <c r="K10" s="9">
        <f t="shared" si="2"/>
        <v>10</v>
      </c>
    </row>
    <row r="11">
      <c r="A11" s="6">
        <f t="shared" si="1"/>
        <v>35</v>
      </c>
      <c r="B11" s="7" t="s">
        <v>100</v>
      </c>
      <c r="C11" s="7" t="s">
        <v>101</v>
      </c>
      <c r="D11" s="7" t="s">
        <v>95</v>
      </c>
      <c r="E11" s="5">
        <f>ROUND(IFERROR(AVERAGEIF(Week1_Individual!$B:$B,$C11,Week1_Individual!$H:$H),0)+IFERROR(VLOOKUP($C11,Week1_Team!$B:$K,10,FALSE()),0),1)</f>
        <v>10</v>
      </c>
      <c r="F11" s="5">
        <f>ROUND(IFERROR(AVERAGEIF(Week2_Individual!$B:$B,$C11,Week2_Individual!$H:$H),0)+IFERROR(VLOOKUP($C11,Week2_Team!$B:$K,10,FALSE()),0),1)</f>
        <v>0</v>
      </c>
      <c r="G11" s="5">
        <f>ROUND(IFERROR(AVERAGEIF(Week3_Individual!$B:$B,$C11,Week3_Individual!$H:$H),0)+IFERROR(VLOOKUP($C11,Week3_Team!$B:$K,10,FALSE()),0),1)</f>
        <v>0</v>
      </c>
      <c r="H11" s="5">
        <f>ROUND(IFERROR(AVERAGEIF(Week4_Individual!$B:$B,$C11,Week4_Individual!$H:$H),0)+IFERROR(VLOOKUP($C11,Week4_Team!$B:$K,10,FALSE()),0),1)</f>
        <v>0</v>
      </c>
      <c r="I11" s="5">
        <f>ROUND(IFERROR(AVERAGEIF(Week5_Individual!$B:$B,$C11,Week5_Individual!$H:$H),0)+IFERROR(VLOOKUP($C11,Week5_Team!$B:$K,10,FALSE()),0),1)</f>
        <v>0</v>
      </c>
      <c r="J11" s="8">
        <v>0.0</v>
      </c>
      <c r="K11" s="9">
        <f t="shared" si="2"/>
        <v>10</v>
      </c>
    </row>
    <row r="12">
      <c r="A12" s="6">
        <f t="shared" si="1"/>
        <v>3</v>
      </c>
      <c r="B12" s="7" t="s">
        <v>102</v>
      </c>
      <c r="C12" s="7" t="s">
        <v>103</v>
      </c>
      <c r="D12" s="7" t="s">
        <v>81</v>
      </c>
      <c r="E12" s="5">
        <f>ROUND(IFERROR(AVERAGEIF(Week1_Individual!$B:$B,$C12,Week1_Individual!$H:$H),0)+IFERROR(VLOOKUP($C12,Week1_Team!$B:$K,10,FALSE()),0),1)</f>
        <v>82.5</v>
      </c>
      <c r="F12" s="5">
        <f>ROUND(IFERROR(AVERAGEIF(Week2_Individual!$B:$B,$C12,Week2_Individual!$H:$H),0)+IFERROR(VLOOKUP($C12,Week2_Team!$B:$K,10,FALSE()),0),1)</f>
        <v>165</v>
      </c>
      <c r="G12" s="5">
        <f>ROUND(IFERROR(AVERAGEIF(Week3_Individual!$B:$B,$C12,Week3_Individual!$H:$H),0)+IFERROR(VLOOKUP($C12,Week3_Team!$B:$K,10,FALSE()),0),1)</f>
        <v>0</v>
      </c>
      <c r="H12" s="5">
        <f>ROUND(IFERROR(AVERAGEIF(Week4_Individual!$B:$B,$C12,Week4_Individual!$H:$H),0)+IFERROR(VLOOKUP($C12,Week4_Team!$B:$K,10,FALSE()),0),1)</f>
        <v>0</v>
      </c>
      <c r="I12" s="5">
        <f>ROUND(IFERROR(AVERAGEIF(Week5_Individual!$B:$B,$C12,Week5_Individual!$H:$H),0)+IFERROR(VLOOKUP($C12,Week5_Team!$B:$K,10,FALSE()),0),1)</f>
        <v>0</v>
      </c>
      <c r="J12" s="8">
        <v>0.0</v>
      </c>
      <c r="K12" s="9">
        <f t="shared" si="2"/>
        <v>247.5</v>
      </c>
    </row>
    <row r="13">
      <c r="A13" s="6">
        <f t="shared" si="1"/>
        <v>46</v>
      </c>
      <c r="B13" s="7" t="s">
        <v>104</v>
      </c>
      <c r="C13" s="7" t="s">
        <v>105</v>
      </c>
      <c r="D13" s="7" t="s">
        <v>95</v>
      </c>
      <c r="E13" s="5">
        <f>ROUND(IFERROR(AVERAGEIF(Week1_Individual!$B:$B,$C13,Week1_Individual!$H:$H),0)+IFERROR(VLOOKUP($C13,Week1_Team!$B:$K,10,FALSE()),0),1)</f>
        <v>0</v>
      </c>
      <c r="F13" s="5">
        <f>ROUND(IFERROR(AVERAGEIF(Week2_Individual!$B:$B,$C13,Week2_Individual!$H:$H),0)+IFERROR(VLOOKUP($C13,Week2_Team!$B:$K,10,FALSE()),0),1)</f>
        <v>0</v>
      </c>
      <c r="G13" s="5">
        <f>ROUND(IFERROR(AVERAGEIF(Week3_Individual!$B:$B,$C13,Week3_Individual!$H:$H),0)+IFERROR(VLOOKUP($C13,Week3_Team!$B:$K,10,FALSE()),0),1)</f>
        <v>0</v>
      </c>
      <c r="H13" s="5">
        <f>ROUND(IFERROR(AVERAGEIF(Week4_Individual!$B:$B,$C13,Week4_Individual!$H:$H),0)+IFERROR(VLOOKUP($C13,Week4_Team!$B:$K,10,FALSE()),0),1)</f>
        <v>0</v>
      </c>
      <c r="I13" s="5">
        <f>ROUND(IFERROR(AVERAGEIF(Week5_Individual!$B:$B,$C13,Week5_Individual!$H:$H),0)+IFERROR(VLOOKUP($C13,Week5_Team!$B:$K,10,FALSE()),0),1)</f>
        <v>0</v>
      </c>
      <c r="J13" s="8">
        <v>0.0</v>
      </c>
      <c r="K13" s="9">
        <f t="shared" si="2"/>
        <v>0</v>
      </c>
    </row>
    <row r="14">
      <c r="A14" s="6">
        <f t="shared" si="1"/>
        <v>45</v>
      </c>
      <c r="B14" s="7" t="s">
        <v>106</v>
      </c>
      <c r="C14" s="7" t="s">
        <v>107</v>
      </c>
      <c r="D14" s="7" t="s">
        <v>81</v>
      </c>
      <c r="E14" s="5">
        <f>ROUND(IFERROR(AVERAGEIF(Week1_Individual!$B:$B,$C14,Week1_Individual!$H:$H),0)+IFERROR(VLOOKUP($C14,Week1_Team!$B:$K,10,FALSE()),0),1)</f>
        <v>0</v>
      </c>
      <c r="F14" s="5">
        <f>ROUND(IFERROR(AVERAGEIF(Week2_Individual!$B:$B,$C14,Week2_Individual!$H:$H),0)+IFERROR(VLOOKUP($C14,Week2_Team!$B:$K,10,FALSE()),0),1)</f>
        <v>1.7</v>
      </c>
      <c r="G14" s="5">
        <f>ROUND(IFERROR(AVERAGEIF(Week3_Individual!$B:$B,$C14,Week3_Individual!$H:$H),0)+IFERROR(VLOOKUP($C14,Week3_Team!$B:$K,10,FALSE()),0),1)</f>
        <v>0</v>
      </c>
      <c r="H14" s="5">
        <f>ROUND(IFERROR(AVERAGEIF(Week4_Individual!$B:$B,$C14,Week4_Individual!$H:$H),0)+IFERROR(VLOOKUP($C14,Week4_Team!$B:$K,10,FALSE()),0),1)</f>
        <v>0</v>
      </c>
      <c r="I14" s="5">
        <f>ROUND(IFERROR(AVERAGEIF(Week5_Individual!$B:$B,$C14,Week5_Individual!$H:$H),0)+IFERROR(VLOOKUP($C14,Week5_Team!$B:$K,10,FALSE()),0),1)</f>
        <v>0</v>
      </c>
      <c r="J14" s="8">
        <v>0.0</v>
      </c>
      <c r="K14" s="9">
        <f t="shared" si="2"/>
        <v>1.7</v>
      </c>
    </row>
    <row r="15">
      <c r="A15" s="6">
        <f t="shared" si="1"/>
        <v>46</v>
      </c>
      <c r="B15" s="7" t="s">
        <v>108</v>
      </c>
      <c r="C15" s="7" t="s">
        <v>109</v>
      </c>
      <c r="D15" s="7" t="s">
        <v>81</v>
      </c>
      <c r="E15" s="5">
        <f>ROUND(IFERROR(AVERAGEIF(Week1_Individual!$B:$B,$C15,Week1_Individual!$H:$H),0)+IFERROR(VLOOKUP($C15,Week1_Team!$B:$K,10,FALSE()),0),1)</f>
        <v>0</v>
      </c>
      <c r="F15" s="5">
        <f>ROUND(IFERROR(AVERAGEIF(Week2_Individual!$B:$B,$C15,Week2_Individual!$H:$H),0)+IFERROR(VLOOKUP($C15,Week2_Team!$B:$K,10,FALSE()),0),1)</f>
        <v>0</v>
      </c>
      <c r="G15" s="5">
        <f>ROUND(IFERROR(AVERAGEIF(Week3_Individual!$B:$B,$C15,Week3_Individual!$H:$H),0)+IFERROR(VLOOKUP($C15,Week3_Team!$B:$K,10,FALSE()),0),1)</f>
        <v>0</v>
      </c>
      <c r="H15" s="5">
        <f>ROUND(IFERROR(AVERAGEIF(Week4_Individual!$B:$B,$C15,Week4_Individual!$H:$H),0)+IFERROR(VLOOKUP($C15,Week4_Team!$B:$K,10,FALSE()),0),1)</f>
        <v>0</v>
      </c>
      <c r="I15" s="5">
        <f>ROUND(IFERROR(AVERAGEIF(Week5_Individual!$B:$B,$C15,Week5_Individual!$H:$H),0)+IFERROR(VLOOKUP($C15,Week5_Team!$B:$K,10,FALSE()),0),1)</f>
        <v>0</v>
      </c>
      <c r="J15" s="8">
        <v>0.0</v>
      </c>
      <c r="K15" s="9">
        <f t="shared" si="2"/>
        <v>0</v>
      </c>
    </row>
    <row r="16">
      <c r="A16" s="6">
        <f t="shared" si="1"/>
        <v>21</v>
      </c>
      <c r="B16" s="7" t="s">
        <v>110</v>
      </c>
      <c r="C16" s="7" t="s">
        <v>111</v>
      </c>
      <c r="D16" s="7" t="s">
        <v>95</v>
      </c>
      <c r="E16" s="5">
        <f>ROUND(IFERROR(AVERAGEIF(Week1_Individual!$B:$B,$C16,Week1_Individual!$H:$H),0)+IFERROR(VLOOKUP($C16,Week1_Team!$B:$K,10,FALSE()),0),1)</f>
        <v>50</v>
      </c>
      <c r="F16" s="5">
        <f>ROUND(IFERROR(AVERAGEIF(Week2_Individual!$B:$B,$C16,Week2_Individual!$H:$H),0)+IFERROR(VLOOKUP($C16,Week2_Team!$B:$K,10,FALSE()),0),1)</f>
        <v>45</v>
      </c>
      <c r="G16" s="5">
        <f>ROUND(IFERROR(AVERAGEIF(Week3_Individual!$B:$B,$C16,Week3_Individual!$H:$H),0)+IFERROR(VLOOKUP($C16,Week3_Team!$B:$K,10,FALSE()),0),1)</f>
        <v>0</v>
      </c>
      <c r="H16" s="5">
        <f>ROUND(IFERROR(AVERAGEIF(Week4_Individual!$B:$B,$C16,Week4_Individual!$H:$H),0)+IFERROR(VLOOKUP($C16,Week4_Team!$B:$K,10,FALSE()),0),1)</f>
        <v>0</v>
      </c>
      <c r="I16" s="5">
        <f>ROUND(IFERROR(AVERAGEIF(Week5_Individual!$B:$B,$C16,Week5_Individual!$H:$H),0)+IFERROR(VLOOKUP($C16,Week5_Team!$B:$K,10,FALSE()),0),1)</f>
        <v>0</v>
      </c>
      <c r="J16" s="8">
        <v>0.0</v>
      </c>
      <c r="K16" s="9">
        <f t="shared" si="2"/>
        <v>95</v>
      </c>
    </row>
    <row r="17">
      <c r="A17" s="10">
        <f t="shared" si="1"/>
        <v>46</v>
      </c>
      <c r="B17" s="11" t="s">
        <v>112</v>
      </c>
      <c r="C17" s="16" t="s">
        <v>113</v>
      </c>
      <c r="D17" s="11" t="s">
        <v>86</v>
      </c>
      <c r="E17" s="13">
        <f>ROUND(IFERROR(AVERAGEIF(Week1_Individual!$B:$B,$C17,Week1_Individual!$H:$H),0)+IFERROR(VLOOKUP($C17,Week1_Team!$B:$K,10,FALSE()),0),1)</f>
        <v>0</v>
      </c>
      <c r="F17" s="13">
        <f>ROUND(IFERROR(AVERAGEIF(Week2_Individual!$B:$B,$C17,Week2_Individual!$H:$H),0)+IFERROR(VLOOKUP($C17,Week2_Team!$B:$K,10,FALSE()),0),1)</f>
        <v>0</v>
      </c>
      <c r="G17" s="13">
        <f>ROUND(IFERROR(AVERAGEIF(Week3_Individual!$B:$B,$C17,Week3_Individual!$H:$H),0)+IFERROR(VLOOKUP($C17,Week3_Team!$B:$K,10,FALSE()),0),1)</f>
        <v>0</v>
      </c>
      <c r="H17" s="13">
        <f>ROUND(IFERROR(AVERAGEIF(Week4_Individual!$B:$B,$C17,Week4_Individual!$H:$H),0)+IFERROR(VLOOKUP($C17,Week4_Team!$B:$K,10,FALSE()),0),1)</f>
        <v>0</v>
      </c>
      <c r="I17" s="13">
        <f>ROUND(IFERROR(AVERAGEIF(Week5_Individual!$B:$B,$C17,Week5_Individual!$H:$H),0)+IFERROR(VLOOKUP($C17,Week5_Team!$B:$K,10,FALSE()),0),1)</f>
        <v>0</v>
      </c>
      <c r="J17" s="8">
        <v>0.0</v>
      </c>
      <c r="K17" s="14">
        <f t="shared" si="2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6">
        <f t="shared" si="1"/>
        <v>46</v>
      </c>
      <c r="B18" s="7" t="s">
        <v>114</v>
      </c>
      <c r="C18" s="7" t="s">
        <v>115</v>
      </c>
      <c r="D18" s="7" t="s">
        <v>95</v>
      </c>
      <c r="E18" s="5">
        <f>ROUND(IFERROR(AVERAGEIF(Week1_Individual!$B:$B,$C18,Week1_Individual!$H:$H),0)+IFERROR(VLOOKUP($C18,Week1_Team!$B:$K,10,FALSE()),0),1)</f>
        <v>0</v>
      </c>
      <c r="F18" s="5">
        <f>ROUND(IFERROR(AVERAGEIF(Week2_Individual!$B:$B,$C18,Week2_Individual!$H:$H),0)+IFERROR(VLOOKUP($C18,Week2_Team!$B:$K,10,FALSE()),0),1)</f>
        <v>0</v>
      </c>
      <c r="G18" s="5">
        <f>ROUND(IFERROR(AVERAGEIF(Week3_Individual!$B:$B,$C18,Week3_Individual!$H:$H),0)+IFERROR(VLOOKUP($C18,Week3_Team!$B:$K,10,FALSE()),0),1)</f>
        <v>0</v>
      </c>
      <c r="H18" s="5">
        <f>ROUND(IFERROR(AVERAGEIF(Week4_Individual!$B:$B,$C18,Week4_Individual!$H:$H),0)+IFERROR(VLOOKUP($C18,Week4_Team!$B:$K,10,FALSE()),0),1)</f>
        <v>0</v>
      </c>
      <c r="I18" s="5">
        <f>ROUND(IFERROR(AVERAGEIF(Week5_Individual!$B:$B,$C18,Week5_Individual!$H:$H),0)+IFERROR(VLOOKUP($C18,Week5_Team!$B:$K,10,FALSE()),0),1)</f>
        <v>0</v>
      </c>
      <c r="J18" s="8">
        <v>0.0</v>
      </c>
      <c r="K18" s="9">
        <f t="shared" si="2"/>
        <v>0</v>
      </c>
    </row>
    <row r="19">
      <c r="A19" s="6">
        <f t="shared" si="1"/>
        <v>46</v>
      </c>
      <c r="B19" s="7" t="s">
        <v>116</v>
      </c>
      <c r="C19" s="7" t="s">
        <v>117</v>
      </c>
      <c r="D19" s="7" t="s">
        <v>81</v>
      </c>
      <c r="E19" s="5">
        <f>ROUND(IFERROR(AVERAGEIF(Week1_Individual!$B:$B,$C19,Week1_Individual!$H:$H),0)+IFERROR(VLOOKUP($C19,Week1_Team!$B:$K,10,FALSE()),0),1)</f>
        <v>0</v>
      </c>
      <c r="F19" s="5">
        <f>ROUND(IFERROR(AVERAGEIF(Week2_Individual!$B:$B,$C19,Week2_Individual!$H:$H),0)+IFERROR(VLOOKUP($C19,Week2_Team!$B:$K,10,FALSE()),0),1)</f>
        <v>0</v>
      </c>
      <c r="G19" s="5">
        <f>ROUND(IFERROR(AVERAGEIF(Week3_Individual!$B:$B,$C19,Week3_Individual!$H:$H),0)+IFERROR(VLOOKUP($C19,Week3_Team!$B:$K,10,FALSE()),0),1)</f>
        <v>0</v>
      </c>
      <c r="H19" s="5">
        <f>ROUND(IFERROR(AVERAGEIF(Week4_Individual!$B:$B,$C19,Week4_Individual!$H:$H),0)+IFERROR(VLOOKUP($C19,Week4_Team!$B:$K,10,FALSE()),0),1)</f>
        <v>0</v>
      </c>
      <c r="I19" s="5">
        <f>ROUND(IFERROR(AVERAGEIF(Week5_Individual!$B:$B,$C19,Week5_Individual!$H:$H),0)+IFERROR(VLOOKUP($C19,Week5_Team!$B:$K,10,FALSE()),0),1)</f>
        <v>0</v>
      </c>
      <c r="J19" s="8">
        <v>0.0</v>
      </c>
      <c r="K19" s="9">
        <f t="shared" si="2"/>
        <v>0</v>
      </c>
    </row>
    <row r="20">
      <c r="A20" s="6">
        <f t="shared" si="1"/>
        <v>8</v>
      </c>
      <c r="B20" s="7" t="s">
        <v>118</v>
      </c>
      <c r="C20" s="7" t="s">
        <v>119</v>
      </c>
      <c r="D20" s="7" t="s">
        <v>81</v>
      </c>
      <c r="E20" s="5">
        <f>ROUND(IFERROR(AVERAGEIF(Week1_Individual!$B:$B,$C20,Week1_Individual!$H:$H),0)+IFERROR(VLOOKUP($C20,Week1_Team!$B:$K,10,FALSE()),0),1)</f>
        <v>90</v>
      </c>
      <c r="F20" s="5">
        <f>ROUND(IFERROR(AVERAGEIF(Week2_Individual!$B:$B,$C20,Week2_Individual!$H:$H),0)+IFERROR(VLOOKUP($C20,Week2_Team!$B:$K,10,FALSE()),0),1)</f>
        <v>127.5</v>
      </c>
      <c r="G20" s="5">
        <f>ROUND(IFERROR(AVERAGEIF(Week3_Individual!$B:$B,$C20,Week3_Individual!$H:$H),0)+IFERROR(VLOOKUP($C20,Week3_Team!$B:$K,10,FALSE()),0),1)</f>
        <v>0</v>
      </c>
      <c r="H20" s="5">
        <f>ROUND(IFERROR(AVERAGEIF(Week4_Individual!$B:$B,$C20,Week4_Individual!$H:$H),0)+IFERROR(VLOOKUP($C20,Week4_Team!$B:$K,10,FALSE()),0),1)</f>
        <v>0</v>
      </c>
      <c r="I20" s="5">
        <f>ROUND(IFERROR(AVERAGEIF(Week5_Individual!$B:$B,$C20,Week5_Individual!$H:$H),0)+IFERROR(VLOOKUP($C20,Week5_Team!$B:$K,10,FALSE()),0),1)</f>
        <v>0</v>
      </c>
      <c r="J20" s="8">
        <v>0.0</v>
      </c>
      <c r="K20" s="9">
        <f t="shared" si="2"/>
        <v>217.5</v>
      </c>
    </row>
    <row r="21" ht="15.75" customHeight="1">
      <c r="A21" s="6">
        <f t="shared" si="1"/>
        <v>46</v>
      </c>
      <c r="B21" s="7" t="s">
        <v>120</v>
      </c>
      <c r="C21" s="7" t="s">
        <v>121</v>
      </c>
      <c r="D21" s="7" t="s">
        <v>95</v>
      </c>
      <c r="E21" s="5">
        <f>ROUND(IFERROR(AVERAGEIF(Week1_Individual!$B:$B,$C21,Week1_Individual!$H:$H),0)+IFERROR(VLOOKUP($C21,Week1_Team!$B:$K,10,FALSE()),0),1)</f>
        <v>0</v>
      </c>
      <c r="F21" s="5">
        <f>ROUND(IFERROR(AVERAGEIF(Week2_Individual!$B:$B,$C21,Week2_Individual!$H:$H),0)+IFERROR(VLOOKUP($C21,Week2_Team!$B:$K,10,FALSE()),0),1)</f>
        <v>0</v>
      </c>
      <c r="G21" s="5">
        <f>ROUND(IFERROR(AVERAGEIF(Week3_Individual!$B:$B,$C21,Week3_Individual!$H:$H),0)+IFERROR(VLOOKUP($C21,Week3_Team!$B:$K,10,FALSE()),0),1)</f>
        <v>0</v>
      </c>
      <c r="H21" s="5">
        <f>ROUND(IFERROR(AVERAGEIF(Week4_Individual!$B:$B,$C21,Week4_Individual!$H:$H),0)+IFERROR(VLOOKUP($C21,Week4_Team!$B:$K,10,FALSE()),0),1)</f>
        <v>0</v>
      </c>
      <c r="I21" s="5">
        <f>ROUND(IFERROR(AVERAGEIF(Week5_Individual!$B:$B,$C21,Week5_Individual!$H:$H),0)+IFERROR(VLOOKUP($C21,Week5_Team!$B:$K,10,FALSE()),0),1)</f>
        <v>0</v>
      </c>
      <c r="J21" s="8">
        <v>0.0</v>
      </c>
      <c r="K21" s="9">
        <f t="shared" si="2"/>
        <v>0</v>
      </c>
    </row>
    <row r="22" ht="15.75" customHeight="1">
      <c r="A22" s="6">
        <f t="shared" si="1"/>
        <v>46</v>
      </c>
      <c r="B22" s="7" t="s">
        <v>122</v>
      </c>
      <c r="C22" s="7" t="s">
        <v>123</v>
      </c>
      <c r="D22" s="7" t="s">
        <v>81</v>
      </c>
      <c r="E22" s="5">
        <f>ROUND(IFERROR(AVERAGEIF(Week1_Individual!$B:$B,$C22,Week1_Individual!$H:$H),0)+IFERROR(VLOOKUP($C22,Week1_Team!$B:$K,10,FALSE()),0),1)</f>
        <v>0</v>
      </c>
      <c r="F22" s="5">
        <f>ROUND(IFERROR(AVERAGEIF(Week2_Individual!$B:$B,$C22,Week2_Individual!$H:$H),0)+IFERROR(VLOOKUP($C22,Week2_Team!$B:$K,10,FALSE()),0),1)</f>
        <v>0</v>
      </c>
      <c r="G22" s="5">
        <f>ROUND(IFERROR(AVERAGEIF(Week3_Individual!$B:$B,$C22,Week3_Individual!$H:$H),0)+IFERROR(VLOOKUP($C22,Week3_Team!$B:$K,10,FALSE()),0),1)</f>
        <v>0</v>
      </c>
      <c r="H22" s="5">
        <f>ROUND(IFERROR(AVERAGEIF(Week4_Individual!$B:$B,$C22,Week4_Individual!$H:$H),0)+IFERROR(VLOOKUP($C22,Week4_Team!$B:$K,10,FALSE()),0),1)</f>
        <v>0</v>
      </c>
      <c r="I22" s="5">
        <f>ROUND(IFERROR(AVERAGEIF(Week5_Individual!$B:$B,$C22,Week5_Individual!$H:$H),0)+IFERROR(VLOOKUP($C22,Week5_Team!$B:$K,10,FALSE()),0),1)</f>
        <v>0</v>
      </c>
      <c r="J22" s="8">
        <v>0.0</v>
      </c>
      <c r="K22" s="9">
        <f t="shared" si="2"/>
        <v>0</v>
      </c>
    </row>
    <row r="23" ht="15.75" customHeight="1">
      <c r="A23" s="6">
        <f t="shared" si="1"/>
        <v>46</v>
      </c>
      <c r="B23" s="7" t="s">
        <v>124</v>
      </c>
      <c r="C23" s="7" t="s">
        <v>125</v>
      </c>
      <c r="D23" s="7" t="s">
        <v>81</v>
      </c>
      <c r="E23" s="5">
        <f>ROUND(IFERROR(AVERAGEIF(Week1_Individual!$B:$B,$C23,Week1_Individual!$H:$H),0)+IFERROR(VLOOKUP($C23,Week1_Team!$B:$K,10,FALSE()),0),1)</f>
        <v>0</v>
      </c>
      <c r="F23" s="5">
        <f>ROUND(IFERROR(AVERAGEIF(Week2_Individual!$B:$B,$C23,Week2_Individual!$H:$H),0)+IFERROR(VLOOKUP($C23,Week2_Team!$B:$K,10,FALSE()),0),1)</f>
        <v>0</v>
      </c>
      <c r="G23" s="5">
        <f>ROUND(IFERROR(AVERAGEIF(Week3_Individual!$B:$B,$C23,Week3_Individual!$H:$H),0)+IFERROR(VLOOKUP($C23,Week3_Team!$B:$K,10,FALSE()),0),1)</f>
        <v>0</v>
      </c>
      <c r="H23" s="5">
        <f>ROUND(IFERROR(AVERAGEIF(Week4_Individual!$B:$B,$C23,Week4_Individual!$H:$H),0)+IFERROR(VLOOKUP($C23,Week4_Team!$B:$K,10,FALSE()),0),1)</f>
        <v>0</v>
      </c>
      <c r="I23" s="5">
        <f>ROUND(IFERROR(AVERAGEIF(Week5_Individual!$B:$B,$C23,Week5_Individual!$H:$H),0)+IFERROR(VLOOKUP($C23,Week5_Team!$B:$K,10,FALSE()),0),1)</f>
        <v>0</v>
      </c>
      <c r="J23" s="8">
        <v>0.0</v>
      </c>
      <c r="K23" s="9">
        <f t="shared" si="2"/>
        <v>0</v>
      </c>
    </row>
    <row r="24" ht="15.75" customHeight="1">
      <c r="A24" s="6">
        <f t="shared" si="1"/>
        <v>46</v>
      </c>
      <c r="B24" s="7" t="s">
        <v>126</v>
      </c>
      <c r="C24" s="7" t="s">
        <v>127</v>
      </c>
      <c r="D24" s="7" t="s">
        <v>81</v>
      </c>
      <c r="E24" s="5">
        <f>ROUND(IFERROR(AVERAGEIF(Week1_Individual!$B:$B,$C24,Week1_Individual!$H:$H),0)+IFERROR(VLOOKUP($C24,Week1_Team!$B:$K,10,FALSE()),0),1)</f>
        <v>0</v>
      </c>
      <c r="F24" s="5">
        <f>ROUND(IFERROR(AVERAGEIF(Week2_Individual!$B:$B,$C24,Week2_Individual!$H:$H),0)+IFERROR(VLOOKUP($C24,Week2_Team!$B:$K,10,FALSE()),0),1)</f>
        <v>0</v>
      </c>
      <c r="G24" s="5">
        <f>ROUND(IFERROR(AVERAGEIF(Week3_Individual!$B:$B,$C24,Week3_Individual!$H:$H),0)+IFERROR(VLOOKUP($C24,Week3_Team!$B:$K,10,FALSE()),0),1)</f>
        <v>0</v>
      </c>
      <c r="H24" s="5">
        <f>ROUND(IFERROR(AVERAGEIF(Week4_Individual!$B:$B,$C24,Week4_Individual!$H:$H),0)+IFERROR(VLOOKUP($C24,Week4_Team!$B:$K,10,FALSE()),0),1)</f>
        <v>0</v>
      </c>
      <c r="I24" s="5">
        <f>ROUND(IFERROR(AVERAGEIF(Week5_Individual!$B:$B,$C24,Week5_Individual!$H:$H),0)+IFERROR(VLOOKUP($C24,Week5_Team!$B:$K,10,FALSE()),0),1)</f>
        <v>0</v>
      </c>
      <c r="J24" s="8">
        <v>0.0</v>
      </c>
      <c r="K24" s="9">
        <f t="shared" si="2"/>
        <v>0</v>
      </c>
    </row>
    <row r="25" ht="15.75" customHeight="1">
      <c r="A25" s="6">
        <f t="shared" si="1"/>
        <v>46</v>
      </c>
      <c r="B25" s="7" t="s">
        <v>128</v>
      </c>
      <c r="C25" s="7" t="s">
        <v>129</v>
      </c>
      <c r="D25" s="7" t="s">
        <v>95</v>
      </c>
      <c r="E25" s="5">
        <f>ROUND(IFERROR(AVERAGEIF(Week1_Individual!$B:$B,$C25,Week1_Individual!$H:$H),0)+IFERROR(VLOOKUP($C25,Week1_Team!$B:$K,10,FALSE()),0),1)</f>
        <v>0</v>
      </c>
      <c r="F25" s="5">
        <f>ROUND(IFERROR(AVERAGEIF(Week2_Individual!$B:$B,$C25,Week2_Individual!$H:$H),0)+IFERROR(VLOOKUP($C25,Week2_Team!$B:$K,10,FALSE()),0),1)</f>
        <v>0</v>
      </c>
      <c r="G25" s="5">
        <f>ROUND(IFERROR(AVERAGEIF(Week3_Individual!$B:$B,$C25,Week3_Individual!$H:$H),0)+IFERROR(VLOOKUP($C25,Week3_Team!$B:$K,10,FALSE()),0),1)</f>
        <v>0</v>
      </c>
      <c r="H25" s="5">
        <f>ROUND(IFERROR(AVERAGEIF(Week4_Individual!$B:$B,$C25,Week4_Individual!$H:$H),0)+IFERROR(VLOOKUP($C25,Week4_Team!$B:$K,10,FALSE()),0),1)</f>
        <v>0</v>
      </c>
      <c r="I25" s="5">
        <f>ROUND(IFERROR(AVERAGEIF(Week5_Individual!$B:$B,$C25,Week5_Individual!$H:$H),0)+IFERROR(VLOOKUP($C25,Week5_Team!$B:$K,10,FALSE()),0),1)</f>
        <v>0</v>
      </c>
      <c r="J25" s="8">
        <v>0.0</v>
      </c>
      <c r="K25" s="9">
        <f t="shared" si="2"/>
        <v>0</v>
      </c>
    </row>
    <row r="26" ht="15.75" customHeight="1">
      <c r="A26" s="6">
        <f t="shared" si="1"/>
        <v>46</v>
      </c>
      <c r="B26" s="7" t="s">
        <v>130</v>
      </c>
      <c r="C26" s="16" t="s">
        <v>131</v>
      </c>
      <c r="D26" s="7" t="s">
        <v>86</v>
      </c>
      <c r="E26" s="5">
        <f>ROUND(IFERROR(AVERAGEIF(Week1_Individual!$B:$B,$C26,Week1_Individual!$H:$H),0)+IFERROR(VLOOKUP($C26,Week1_Team!$B:$K,10,FALSE()),0),1)</f>
        <v>0</v>
      </c>
      <c r="F26" s="5">
        <f>ROUND(IFERROR(AVERAGEIF(Week2_Individual!$B:$B,$C26,Week2_Individual!$H:$H),0)+IFERROR(VLOOKUP($C26,Week2_Team!$B:$K,10,FALSE()),0),1)</f>
        <v>0</v>
      </c>
      <c r="G26" s="5">
        <f>ROUND(IFERROR(AVERAGEIF(Week3_Individual!$B:$B,$C26,Week3_Individual!$H:$H),0)+IFERROR(VLOOKUP($C26,Week3_Team!$B:$K,10,FALSE()),0),1)</f>
        <v>0</v>
      </c>
      <c r="H26" s="5">
        <f>ROUND(IFERROR(AVERAGEIF(Week4_Individual!$B:$B,$C26,Week4_Individual!$H:$H),0)+IFERROR(VLOOKUP($C26,Week4_Team!$B:$K,10,FALSE()),0),1)</f>
        <v>0</v>
      </c>
      <c r="I26" s="5">
        <f>ROUND(IFERROR(AVERAGEIF(Week5_Individual!$B:$B,$C26,Week5_Individual!$H:$H),0)+IFERROR(VLOOKUP($C26,Week5_Team!$B:$K,10,FALSE()),0),1)</f>
        <v>0</v>
      </c>
      <c r="J26" s="8">
        <v>0.0</v>
      </c>
      <c r="K26" s="9">
        <f t="shared" si="2"/>
        <v>0</v>
      </c>
    </row>
    <row r="27" ht="15.75" customHeight="1">
      <c r="A27" s="6">
        <f t="shared" si="1"/>
        <v>46</v>
      </c>
      <c r="B27" s="7" t="s">
        <v>132</v>
      </c>
      <c r="C27" s="12" t="s">
        <v>133</v>
      </c>
      <c r="D27" s="7" t="s">
        <v>86</v>
      </c>
      <c r="E27" s="5">
        <f>ROUND(IFERROR(AVERAGEIF(Week1_Individual!$B:$B,$C27,Week1_Individual!$H:$H),0)+IFERROR(VLOOKUP($C27,Week1_Team!$B:$K,10,FALSE()),0),1)</f>
        <v>0</v>
      </c>
      <c r="F27" s="5">
        <f>ROUND(IFERROR(AVERAGEIF(Week2_Individual!$B:$B,$C27,Week2_Individual!$H:$H),0)+IFERROR(VLOOKUP($C27,Week2_Team!$B:$K,10,FALSE()),0),1)</f>
        <v>0</v>
      </c>
      <c r="G27" s="5">
        <f>ROUND(IFERROR(AVERAGEIF(Week3_Individual!$B:$B,$C27,Week3_Individual!$H:$H),0)+IFERROR(VLOOKUP($C27,Week3_Team!$B:$K,10,FALSE()),0),1)</f>
        <v>0</v>
      </c>
      <c r="H27" s="5">
        <f>ROUND(IFERROR(AVERAGEIF(Week4_Individual!$B:$B,$C27,Week4_Individual!$H:$H),0)+IFERROR(VLOOKUP($C27,Week4_Team!$B:$K,10,FALSE()),0),1)</f>
        <v>0</v>
      </c>
      <c r="I27" s="5">
        <f>ROUND(IFERROR(AVERAGEIF(Week5_Individual!$B:$B,$C27,Week5_Individual!$H:$H),0)+IFERROR(VLOOKUP($C27,Week5_Team!$B:$K,10,FALSE()),0),1)</f>
        <v>0</v>
      </c>
      <c r="J27" s="8">
        <v>0.0</v>
      </c>
      <c r="K27" s="9">
        <f t="shared" si="2"/>
        <v>0</v>
      </c>
    </row>
    <row r="28" ht="15.75" customHeight="1">
      <c r="A28" s="6">
        <f t="shared" si="1"/>
        <v>46</v>
      </c>
      <c r="B28" s="7" t="s">
        <v>134</v>
      </c>
      <c r="C28" s="16" t="s">
        <v>135</v>
      </c>
      <c r="D28" s="7" t="s">
        <v>86</v>
      </c>
      <c r="E28" s="5">
        <f>ROUND(IFERROR(AVERAGEIF(Week1_Individual!$B:$B,$C28,Week1_Individual!$H:$H),0)+IFERROR(VLOOKUP($C28,Week1_Team!$B:$K,10,FALSE()),0),1)</f>
        <v>0</v>
      </c>
      <c r="F28" s="5">
        <f>ROUND(IFERROR(AVERAGEIF(Week2_Individual!$B:$B,$C28,Week2_Individual!$H:$H),0)+IFERROR(VLOOKUP($C28,Week2_Team!$B:$K,10,FALSE()),0),1)</f>
        <v>0</v>
      </c>
      <c r="G28" s="5">
        <f>ROUND(IFERROR(AVERAGEIF(Week3_Individual!$B:$B,$C28,Week3_Individual!$H:$H),0)+IFERROR(VLOOKUP($C28,Week3_Team!$B:$K,10,FALSE()),0),1)</f>
        <v>0</v>
      </c>
      <c r="H28" s="5">
        <f>ROUND(IFERROR(AVERAGEIF(Week4_Individual!$B:$B,$C28,Week4_Individual!$H:$H),0)+IFERROR(VLOOKUP($C28,Week4_Team!$B:$K,10,FALSE()),0),1)</f>
        <v>0</v>
      </c>
      <c r="I28" s="5">
        <f>ROUND(IFERROR(AVERAGEIF(Week5_Individual!$B:$B,$C28,Week5_Individual!$H:$H),0)+IFERROR(VLOOKUP($C28,Week5_Team!$B:$K,10,FALSE()),0),1)</f>
        <v>0</v>
      </c>
      <c r="J28" s="8">
        <v>0.0</v>
      </c>
      <c r="K28" s="9">
        <f t="shared" si="2"/>
        <v>0</v>
      </c>
    </row>
    <row r="29" ht="15.75" customHeight="1">
      <c r="A29" s="6">
        <f t="shared" si="1"/>
        <v>46</v>
      </c>
      <c r="B29" s="7" t="s">
        <v>136</v>
      </c>
      <c r="C29" s="16" t="s">
        <v>137</v>
      </c>
      <c r="D29" s="7" t="s">
        <v>86</v>
      </c>
      <c r="E29" s="5">
        <f>ROUND(IFERROR(AVERAGEIF(Week1_Individual!$B:$B,$C29,Week1_Individual!$H:$H),0)+IFERROR(VLOOKUP($C29,Week1_Team!$B:$K,10,FALSE()),0),1)</f>
        <v>0</v>
      </c>
      <c r="F29" s="5">
        <f>ROUND(IFERROR(AVERAGEIF(Week2_Individual!$B:$B,$C29,Week2_Individual!$H:$H),0)+IFERROR(VLOOKUP($C29,Week2_Team!$B:$K,10,FALSE()),0),1)</f>
        <v>0</v>
      </c>
      <c r="G29" s="5">
        <f>ROUND(IFERROR(AVERAGEIF(Week3_Individual!$B:$B,$C29,Week3_Individual!$H:$H),0)+IFERROR(VLOOKUP($C29,Week3_Team!$B:$K,10,FALSE()),0),1)</f>
        <v>0</v>
      </c>
      <c r="H29" s="5">
        <f>ROUND(IFERROR(AVERAGEIF(Week4_Individual!$B:$B,$C29,Week4_Individual!$H:$H),0)+IFERROR(VLOOKUP($C29,Week4_Team!$B:$K,10,FALSE()),0),1)</f>
        <v>0</v>
      </c>
      <c r="I29" s="5">
        <f>ROUND(IFERROR(AVERAGEIF(Week5_Individual!$B:$B,$C29,Week5_Individual!$H:$H),0)+IFERROR(VLOOKUP($C29,Week5_Team!$B:$K,10,FALSE()),0),1)</f>
        <v>0</v>
      </c>
      <c r="J29" s="8">
        <v>0.0</v>
      </c>
      <c r="K29" s="9">
        <f t="shared" si="2"/>
        <v>0</v>
      </c>
    </row>
    <row r="30" ht="15.75" customHeight="1">
      <c r="A30" s="6">
        <f t="shared" si="1"/>
        <v>1</v>
      </c>
      <c r="B30" s="7" t="s">
        <v>138</v>
      </c>
      <c r="C30" s="7" t="s">
        <v>139</v>
      </c>
      <c r="D30" s="7" t="s">
        <v>81</v>
      </c>
      <c r="E30" s="5">
        <f>ROUND(IFERROR(AVERAGEIF(Week1_Individual!$B:$B,$C30,Week1_Individual!$H:$H),0)+IFERROR(VLOOKUP($C30,Week1_Team!$B:$K,10,FALSE()),0),1)</f>
        <v>90</v>
      </c>
      <c r="F30" s="5">
        <f>ROUND(IFERROR(AVERAGEIF(Week2_Individual!$B:$B,$C30,Week2_Individual!$H:$H),0)+IFERROR(VLOOKUP($C30,Week2_Team!$B:$K,10,FALSE()),0),1)</f>
        <v>160</v>
      </c>
      <c r="G30" s="5">
        <f>ROUND(IFERROR(AVERAGEIF(Week3_Individual!$B:$B,$C30,Week3_Individual!$H:$H),0)+IFERROR(VLOOKUP($C30,Week3_Team!$B:$K,10,FALSE()),0),1)</f>
        <v>0</v>
      </c>
      <c r="H30" s="5">
        <f>ROUND(IFERROR(AVERAGEIF(Week4_Individual!$B:$B,$C30,Week4_Individual!$H:$H),0)+IFERROR(VLOOKUP($C30,Week4_Team!$B:$K,10,FALSE()),0),1)</f>
        <v>0</v>
      </c>
      <c r="I30" s="5">
        <f>ROUND(IFERROR(AVERAGEIF(Week5_Individual!$B:$B,$C30,Week5_Individual!$H:$H),0)+IFERROR(VLOOKUP($C30,Week5_Team!$B:$K,10,FALSE()),0),1)</f>
        <v>0</v>
      </c>
      <c r="J30" s="8">
        <v>0.0</v>
      </c>
      <c r="K30" s="9">
        <f t="shared" si="2"/>
        <v>250</v>
      </c>
    </row>
    <row r="31" ht="15.75" customHeight="1">
      <c r="A31" s="6">
        <f t="shared" si="1"/>
        <v>46</v>
      </c>
      <c r="B31" s="7" t="s">
        <v>140</v>
      </c>
      <c r="C31" s="7" t="s">
        <v>141</v>
      </c>
      <c r="D31" s="7" t="s">
        <v>81</v>
      </c>
      <c r="E31" s="5">
        <f>ROUND(IFERROR(AVERAGEIF(Week1_Individual!$B:$B,$C31,Week1_Individual!$H:$H),0)+IFERROR(VLOOKUP($C31,Week1_Team!$B:$K,10,FALSE()),0),1)</f>
        <v>0</v>
      </c>
      <c r="F31" s="5">
        <f>ROUND(IFERROR(AVERAGEIF(Week2_Individual!$B:$B,$C31,Week2_Individual!$H:$H),0)+IFERROR(VLOOKUP($C31,Week2_Team!$B:$K,10,FALSE()),0),1)</f>
        <v>0</v>
      </c>
      <c r="G31" s="5">
        <f>ROUND(IFERROR(AVERAGEIF(Week3_Individual!$B:$B,$C31,Week3_Individual!$H:$H),0)+IFERROR(VLOOKUP($C31,Week3_Team!$B:$K,10,FALSE()),0),1)</f>
        <v>0</v>
      </c>
      <c r="H31" s="5">
        <f>ROUND(IFERROR(AVERAGEIF(Week4_Individual!$B:$B,$C31,Week4_Individual!$H:$H),0)+IFERROR(VLOOKUP($C31,Week4_Team!$B:$K,10,FALSE()),0),1)</f>
        <v>0</v>
      </c>
      <c r="I31" s="5">
        <f>ROUND(IFERROR(AVERAGEIF(Week5_Individual!$B:$B,$C31,Week5_Individual!$H:$H),0)+IFERROR(VLOOKUP($C31,Week5_Team!$B:$K,10,FALSE()),0),1)</f>
        <v>0</v>
      </c>
      <c r="J31" s="8">
        <v>0.0</v>
      </c>
      <c r="K31" s="9">
        <f t="shared" si="2"/>
        <v>0</v>
      </c>
    </row>
    <row r="32" ht="15.75" customHeight="1">
      <c r="A32" s="6">
        <f t="shared" si="1"/>
        <v>46</v>
      </c>
      <c r="B32" s="7" t="s">
        <v>142</v>
      </c>
      <c r="C32" s="7" t="s">
        <v>143</v>
      </c>
      <c r="D32" s="7" t="s">
        <v>86</v>
      </c>
      <c r="E32" s="5">
        <f>ROUND(IFERROR(AVERAGEIF(Week1_Individual!$B:$B,$C32,Week1_Individual!$H:$H),0)+IFERROR(VLOOKUP($C32,Week1_Team!$B:$K,10,FALSE()),0),1)</f>
        <v>0</v>
      </c>
      <c r="F32" s="5">
        <f>ROUND(IFERROR(AVERAGEIF(Week2_Individual!$B:$B,$C32,Week2_Individual!$H:$H),0)+IFERROR(VLOOKUP($C32,Week2_Team!$B:$K,10,FALSE()),0),1)</f>
        <v>0</v>
      </c>
      <c r="G32" s="5">
        <f>ROUND(IFERROR(AVERAGEIF(Week3_Individual!$B:$B,$C32,Week3_Individual!$H:$H),0)+IFERROR(VLOOKUP($C32,Week3_Team!$B:$K,10,FALSE()),0),1)</f>
        <v>0</v>
      </c>
      <c r="H32" s="5">
        <f>ROUND(IFERROR(AVERAGEIF(Week4_Individual!$B:$B,$C32,Week4_Individual!$H:$H),0)+IFERROR(VLOOKUP($C32,Week4_Team!$B:$K,10,FALSE()),0),1)</f>
        <v>0</v>
      </c>
      <c r="I32" s="5">
        <f>ROUND(IFERROR(AVERAGEIF(Week5_Individual!$B:$B,$C32,Week5_Individual!$H:$H),0)+IFERROR(VLOOKUP($C32,Week5_Team!$B:$K,10,FALSE()),0),1)</f>
        <v>0</v>
      </c>
      <c r="J32" s="8">
        <v>0.0</v>
      </c>
      <c r="K32" s="9">
        <f t="shared" si="2"/>
        <v>0</v>
      </c>
    </row>
    <row r="33" ht="15.75" customHeight="1">
      <c r="A33" s="6">
        <f t="shared" si="1"/>
        <v>46</v>
      </c>
      <c r="B33" s="7" t="s">
        <v>144</v>
      </c>
      <c r="C33" s="7" t="s">
        <v>145</v>
      </c>
      <c r="D33" s="7" t="s">
        <v>95</v>
      </c>
      <c r="E33" s="5">
        <f>ROUND(IFERROR(AVERAGEIF(Week1_Individual!$B:$B,$C33,Week1_Individual!$H:$H),0)+IFERROR(VLOOKUP($C33,Week1_Team!$B:$K,10,FALSE()),0),1)</f>
        <v>0</v>
      </c>
      <c r="F33" s="5">
        <f>ROUND(IFERROR(AVERAGEIF(Week2_Individual!$B:$B,$C33,Week2_Individual!$H:$H),0)+IFERROR(VLOOKUP($C33,Week2_Team!$B:$K,10,FALSE()),0),1)</f>
        <v>0</v>
      </c>
      <c r="G33" s="5">
        <f>ROUND(IFERROR(AVERAGEIF(Week3_Individual!$B:$B,$C33,Week3_Individual!$H:$H),0)+IFERROR(VLOOKUP($C33,Week3_Team!$B:$K,10,FALSE()),0),1)</f>
        <v>0</v>
      </c>
      <c r="H33" s="5">
        <f>ROUND(IFERROR(AVERAGEIF(Week4_Individual!$B:$B,$C33,Week4_Individual!$H:$H),0)+IFERROR(VLOOKUP($C33,Week4_Team!$B:$K,10,FALSE()),0),1)</f>
        <v>0</v>
      </c>
      <c r="I33" s="5">
        <f>ROUND(IFERROR(AVERAGEIF(Week5_Individual!$B:$B,$C33,Week5_Individual!$H:$H),0)+IFERROR(VLOOKUP($C33,Week5_Team!$B:$K,10,FALSE()),0),1)</f>
        <v>0</v>
      </c>
      <c r="J33" s="8">
        <v>0.0</v>
      </c>
      <c r="K33" s="9">
        <f t="shared" si="2"/>
        <v>0</v>
      </c>
    </row>
    <row r="34" ht="15.75" customHeight="1">
      <c r="A34" s="6">
        <f t="shared" si="1"/>
        <v>46</v>
      </c>
      <c r="B34" s="7" t="s">
        <v>146</v>
      </c>
      <c r="C34" s="7" t="s">
        <v>147</v>
      </c>
      <c r="D34" s="7" t="s">
        <v>81</v>
      </c>
      <c r="E34" s="5">
        <f>ROUND(IFERROR(AVERAGEIF(Week1_Individual!$B:$B,$C34,Week1_Individual!$H:$H),0)+IFERROR(VLOOKUP($C34,Week1_Team!$B:$K,10,FALSE()),0),1)</f>
        <v>0</v>
      </c>
      <c r="F34" s="5">
        <f>ROUND(IFERROR(AVERAGEIF(Week2_Individual!$B:$B,$C34,Week2_Individual!$H:$H),0)+IFERROR(VLOOKUP($C34,Week2_Team!$B:$K,10,FALSE()),0),1)</f>
        <v>0</v>
      </c>
      <c r="G34" s="5">
        <f>ROUND(IFERROR(AVERAGEIF(Week3_Individual!$B:$B,$C34,Week3_Individual!$H:$H),0)+IFERROR(VLOOKUP($C34,Week3_Team!$B:$K,10,FALSE()),0),1)</f>
        <v>0</v>
      </c>
      <c r="H34" s="5">
        <f>ROUND(IFERROR(AVERAGEIF(Week4_Individual!$B:$B,$C34,Week4_Individual!$H:$H),0)+IFERROR(VLOOKUP($C34,Week4_Team!$B:$K,10,FALSE()),0),1)</f>
        <v>0</v>
      </c>
      <c r="I34" s="5">
        <f>ROUND(IFERROR(AVERAGEIF(Week5_Individual!$B:$B,$C34,Week5_Individual!$H:$H),0)+IFERROR(VLOOKUP($C34,Week5_Team!$B:$K,10,FALSE()),0),1)</f>
        <v>0</v>
      </c>
      <c r="J34" s="8">
        <v>0.0</v>
      </c>
      <c r="K34" s="9">
        <f t="shared" si="2"/>
        <v>0</v>
      </c>
    </row>
    <row r="35" ht="15.75" customHeight="1">
      <c r="A35" s="6">
        <f t="shared" si="1"/>
        <v>35</v>
      </c>
      <c r="B35" s="7" t="s">
        <v>148</v>
      </c>
      <c r="C35" s="7" t="s">
        <v>149</v>
      </c>
      <c r="D35" s="7" t="s">
        <v>81</v>
      </c>
      <c r="E35" s="5">
        <f>ROUND(IFERROR(AVERAGEIF(Week1_Individual!$B:$B,$C35,Week1_Individual!$H:$H),0)+IFERROR(VLOOKUP($C35,Week1_Team!$B:$K,10,FALSE()),0),1)</f>
        <v>0</v>
      </c>
      <c r="F35" s="5">
        <f>ROUND(IFERROR(AVERAGEIF(Week2_Individual!$B:$B,$C35,Week2_Individual!$H:$H),0)+IFERROR(VLOOKUP($C35,Week2_Team!$B:$K,10,FALSE()),0),1)</f>
        <v>10</v>
      </c>
      <c r="G35" s="5">
        <f>ROUND(IFERROR(AVERAGEIF(Week3_Individual!$B:$B,$C35,Week3_Individual!$H:$H),0)+IFERROR(VLOOKUP($C35,Week3_Team!$B:$K,10,FALSE()),0),1)</f>
        <v>0</v>
      </c>
      <c r="H35" s="5">
        <f>ROUND(IFERROR(AVERAGEIF(Week4_Individual!$B:$B,$C35,Week4_Individual!$H:$H),0)+IFERROR(VLOOKUP($C35,Week4_Team!$B:$K,10,FALSE()),0),1)</f>
        <v>0</v>
      </c>
      <c r="I35" s="5">
        <f>ROUND(IFERROR(AVERAGEIF(Week5_Individual!$B:$B,$C35,Week5_Individual!$H:$H),0)+IFERROR(VLOOKUP($C35,Week5_Team!$B:$K,10,FALSE()),0),1)</f>
        <v>0</v>
      </c>
      <c r="J35" s="8">
        <v>0.0</v>
      </c>
      <c r="K35" s="9">
        <f t="shared" si="2"/>
        <v>10</v>
      </c>
    </row>
    <row r="36" ht="15.75" customHeight="1">
      <c r="A36" s="6">
        <f t="shared" si="1"/>
        <v>35</v>
      </c>
      <c r="B36" s="7" t="s">
        <v>150</v>
      </c>
      <c r="C36" s="7" t="s">
        <v>151</v>
      </c>
      <c r="D36" s="7" t="s">
        <v>81</v>
      </c>
      <c r="E36" s="5">
        <f>ROUND(IFERROR(AVERAGEIF(Week1_Individual!$B:$B,$C36,Week1_Individual!$H:$H),0)+IFERROR(VLOOKUP($C36,Week1_Team!$B:$K,10,FALSE()),0),1)</f>
        <v>10</v>
      </c>
      <c r="F36" s="5">
        <f>ROUND(IFERROR(AVERAGEIF(Week2_Individual!$B:$B,$C36,Week2_Individual!$H:$H),0)+IFERROR(VLOOKUP($C36,Week2_Team!$B:$K,10,FALSE()),0),1)</f>
        <v>0</v>
      </c>
      <c r="G36" s="5">
        <f>ROUND(IFERROR(AVERAGEIF(Week3_Individual!$B:$B,$C36,Week3_Individual!$H:$H),0)+IFERROR(VLOOKUP($C36,Week3_Team!$B:$K,10,FALSE()),0),1)</f>
        <v>0</v>
      </c>
      <c r="H36" s="5">
        <f>ROUND(IFERROR(AVERAGEIF(Week4_Individual!$B:$B,$C36,Week4_Individual!$H:$H),0)+IFERROR(VLOOKUP($C36,Week4_Team!$B:$K,10,FALSE()),0),1)</f>
        <v>0</v>
      </c>
      <c r="I36" s="5">
        <f>ROUND(IFERROR(AVERAGEIF(Week5_Individual!$B:$B,$C36,Week5_Individual!$H:$H),0)+IFERROR(VLOOKUP($C36,Week5_Team!$B:$K,10,FALSE()),0),1)</f>
        <v>0</v>
      </c>
      <c r="J36" s="8">
        <v>0.0</v>
      </c>
      <c r="K36" s="9">
        <f t="shared" si="2"/>
        <v>10</v>
      </c>
    </row>
    <row r="37" ht="15.75" customHeight="1">
      <c r="A37" s="6">
        <f t="shared" si="1"/>
        <v>46</v>
      </c>
      <c r="B37" s="7" t="s">
        <v>152</v>
      </c>
      <c r="C37" s="7" t="s">
        <v>153</v>
      </c>
      <c r="D37" s="7" t="s">
        <v>95</v>
      </c>
      <c r="E37" s="5">
        <f>ROUND(IFERROR(AVERAGEIF(Week1_Individual!$B:$B,$C37,Week1_Individual!$H:$H),0)+IFERROR(VLOOKUP($C37,Week1_Team!$B:$K,10,FALSE()),0),1)</f>
        <v>0</v>
      </c>
      <c r="F37" s="5">
        <f>ROUND(IFERROR(AVERAGEIF(Week2_Individual!$B:$B,$C37,Week2_Individual!$H:$H),0)+IFERROR(VLOOKUP($C37,Week2_Team!$B:$K,10,FALSE()),0),1)</f>
        <v>0</v>
      </c>
      <c r="G37" s="5">
        <f>ROUND(IFERROR(AVERAGEIF(Week3_Individual!$B:$B,$C37,Week3_Individual!$H:$H),0)+IFERROR(VLOOKUP($C37,Week3_Team!$B:$K,10,FALSE()),0),1)</f>
        <v>0</v>
      </c>
      <c r="H37" s="5">
        <f>ROUND(IFERROR(AVERAGEIF(Week4_Individual!$B:$B,$C37,Week4_Individual!$H:$H),0)+IFERROR(VLOOKUP($C37,Week4_Team!$B:$K,10,FALSE()),0),1)</f>
        <v>0</v>
      </c>
      <c r="I37" s="5">
        <f>ROUND(IFERROR(AVERAGEIF(Week5_Individual!$B:$B,$C37,Week5_Individual!$H:$H),0)+IFERROR(VLOOKUP($C37,Week5_Team!$B:$K,10,FALSE()),0),1)</f>
        <v>0</v>
      </c>
      <c r="J37" s="8">
        <v>0.0</v>
      </c>
      <c r="K37" s="9">
        <f t="shared" si="2"/>
        <v>0</v>
      </c>
    </row>
    <row r="38" ht="15.75" customHeight="1">
      <c r="A38" s="6">
        <f t="shared" si="1"/>
        <v>46</v>
      </c>
      <c r="B38" s="7" t="s">
        <v>154</v>
      </c>
      <c r="C38" s="7" t="s">
        <v>155</v>
      </c>
      <c r="D38" s="7" t="s">
        <v>95</v>
      </c>
      <c r="E38" s="5">
        <f>ROUND(IFERROR(AVERAGEIF(Week1_Individual!$B:$B,$C38,Week1_Individual!$H:$H),0)+IFERROR(VLOOKUP($C38,Week1_Team!$B:$K,10,FALSE()),0),1)</f>
        <v>0</v>
      </c>
      <c r="F38" s="5">
        <f>ROUND(IFERROR(AVERAGEIF(Week2_Individual!$B:$B,$C38,Week2_Individual!$H:$H),0)+IFERROR(VLOOKUP($C38,Week2_Team!$B:$K,10,FALSE()),0),1)</f>
        <v>0</v>
      </c>
      <c r="G38" s="5">
        <f>ROUND(IFERROR(AVERAGEIF(Week3_Individual!$B:$B,$C38,Week3_Individual!$H:$H),0)+IFERROR(VLOOKUP($C38,Week3_Team!$B:$K,10,FALSE()),0),1)</f>
        <v>0</v>
      </c>
      <c r="H38" s="5">
        <f>ROUND(IFERROR(AVERAGEIF(Week4_Individual!$B:$B,$C38,Week4_Individual!$H:$H),0)+IFERROR(VLOOKUP($C38,Week4_Team!$B:$K,10,FALSE()),0),1)</f>
        <v>0</v>
      </c>
      <c r="I38" s="5">
        <f>ROUND(IFERROR(AVERAGEIF(Week5_Individual!$B:$B,$C38,Week5_Individual!$H:$H),0)+IFERROR(VLOOKUP($C38,Week5_Team!$B:$K,10,FALSE()),0),1)</f>
        <v>0</v>
      </c>
      <c r="J38" s="8">
        <v>0.0</v>
      </c>
      <c r="K38" s="9">
        <f t="shared" si="2"/>
        <v>0</v>
      </c>
    </row>
    <row r="39" ht="15.75" customHeight="1">
      <c r="A39" s="6">
        <f t="shared" si="1"/>
        <v>15</v>
      </c>
      <c r="B39" s="7" t="s">
        <v>156</v>
      </c>
      <c r="C39" s="7" t="s">
        <v>157</v>
      </c>
      <c r="D39" s="7" t="s">
        <v>95</v>
      </c>
      <c r="E39" s="5">
        <f>ROUND(IFERROR(AVERAGEIF(Week1_Individual!$B:$B,$C39,Week1_Individual!$H:$H),0)+IFERROR(VLOOKUP($C39,Week1_Team!$B:$K,10,FALSE()),0),1)</f>
        <v>75</v>
      </c>
      <c r="F39" s="5">
        <f>ROUND(IFERROR(AVERAGEIF(Week2_Individual!$B:$B,$C39,Week2_Individual!$H:$H),0)+IFERROR(VLOOKUP($C39,Week2_Team!$B:$K,10,FALSE()),0),1)</f>
        <v>97.5</v>
      </c>
      <c r="G39" s="5">
        <f>ROUND(IFERROR(AVERAGEIF(Week3_Individual!$B:$B,$C39,Week3_Individual!$H:$H),0)+IFERROR(VLOOKUP($C39,Week3_Team!$B:$K,10,FALSE()),0),1)</f>
        <v>0</v>
      </c>
      <c r="H39" s="5">
        <f>ROUND(IFERROR(AVERAGEIF(Week4_Individual!$B:$B,$C39,Week4_Individual!$H:$H),0)+IFERROR(VLOOKUP($C39,Week4_Team!$B:$K,10,FALSE()),0),1)</f>
        <v>0</v>
      </c>
      <c r="I39" s="5">
        <f>ROUND(IFERROR(AVERAGEIF(Week5_Individual!$B:$B,$C39,Week5_Individual!$H:$H),0)+IFERROR(VLOOKUP($C39,Week5_Team!$B:$K,10,FALSE()),0),1)</f>
        <v>0</v>
      </c>
      <c r="J39" s="8">
        <v>0.0</v>
      </c>
      <c r="K39" s="9">
        <f t="shared" si="2"/>
        <v>172.5</v>
      </c>
    </row>
    <row r="40" ht="15.75" customHeight="1">
      <c r="A40" s="6">
        <f t="shared" si="1"/>
        <v>35</v>
      </c>
      <c r="B40" s="7" t="s">
        <v>158</v>
      </c>
      <c r="C40" s="7" t="s">
        <v>159</v>
      </c>
      <c r="D40" s="7" t="s">
        <v>81</v>
      </c>
      <c r="E40" s="5">
        <f>ROUND(IFERROR(AVERAGEIF(Week1_Individual!$B:$B,$C40,Week1_Individual!$H:$H),0)+IFERROR(VLOOKUP($C40,Week1_Team!$B:$K,10,FALSE()),0),1)</f>
        <v>10</v>
      </c>
      <c r="F40" s="5">
        <f>ROUND(IFERROR(AVERAGEIF(Week2_Individual!$B:$B,$C40,Week2_Individual!$H:$H),0)+IFERROR(VLOOKUP($C40,Week2_Team!$B:$K,10,FALSE()),0),1)</f>
        <v>0</v>
      </c>
      <c r="G40" s="5">
        <f>ROUND(IFERROR(AVERAGEIF(Week3_Individual!$B:$B,$C40,Week3_Individual!$H:$H),0)+IFERROR(VLOOKUP($C40,Week3_Team!$B:$K,10,FALSE()),0),1)</f>
        <v>0</v>
      </c>
      <c r="H40" s="5">
        <f>ROUND(IFERROR(AVERAGEIF(Week4_Individual!$B:$B,$C40,Week4_Individual!$H:$H),0)+IFERROR(VLOOKUP($C40,Week4_Team!$B:$K,10,FALSE()),0),1)</f>
        <v>0</v>
      </c>
      <c r="I40" s="5">
        <f>ROUND(IFERROR(AVERAGEIF(Week5_Individual!$B:$B,$C40,Week5_Individual!$H:$H),0)+IFERROR(VLOOKUP($C40,Week5_Team!$B:$K,10,FALSE()),0),1)</f>
        <v>0</v>
      </c>
      <c r="J40" s="8">
        <v>0.0</v>
      </c>
      <c r="K40" s="9">
        <f t="shared" si="2"/>
        <v>10</v>
      </c>
    </row>
    <row r="41" ht="15.75" customHeight="1">
      <c r="A41" s="6">
        <f t="shared" si="1"/>
        <v>46</v>
      </c>
      <c r="B41" s="7" t="s">
        <v>160</v>
      </c>
      <c r="C41" s="7" t="s">
        <v>161</v>
      </c>
      <c r="D41" s="7" t="s">
        <v>95</v>
      </c>
      <c r="E41" s="5">
        <f>ROUND(IFERROR(AVERAGEIF(Week1_Individual!$B:$B,$C41,Week1_Individual!$H:$H),0)+IFERROR(VLOOKUP($C41,Week1_Team!$B:$K,10,FALSE()),0),1)</f>
        <v>0</v>
      </c>
      <c r="F41" s="5">
        <f>ROUND(IFERROR(AVERAGEIF(Week2_Individual!$B:$B,$C41,Week2_Individual!$H:$H),0)+IFERROR(VLOOKUP($C41,Week2_Team!$B:$K,10,FALSE()),0),1)</f>
        <v>0</v>
      </c>
      <c r="G41" s="5">
        <f>ROUND(IFERROR(AVERAGEIF(Week3_Individual!$B:$B,$C41,Week3_Individual!$H:$H),0)+IFERROR(VLOOKUP($C41,Week3_Team!$B:$K,10,FALSE()),0),1)</f>
        <v>0</v>
      </c>
      <c r="H41" s="5">
        <f>ROUND(IFERROR(AVERAGEIF(Week4_Individual!$B:$B,$C41,Week4_Individual!$H:$H),0)+IFERROR(VLOOKUP($C41,Week4_Team!$B:$K,10,FALSE()),0),1)</f>
        <v>0</v>
      </c>
      <c r="I41" s="5">
        <f>ROUND(IFERROR(AVERAGEIF(Week5_Individual!$B:$B,$C41,Week5_Individual!$H:$H),0)+IFERROR(VLOOKUP($C41,Week5_Team!$B:$K,10,FALSE()),0),1)</f>
        <v>0</v>
      </c>
      <c r="J41" s="8">
        <v>0.0</v>
      </c>
      <c r="K41" s="9">
        <f t="shared" si="2"/>
        <v>0</v>
      </c>
    </row>
    <row r="42" ht="15.75" customHeight="1">
      <c r="A42" s="6">
        <f t="shared" si="1"/>
        <v>46</v>
      </c>
      <c r="B42" s="7" t="s">
        <v>162</v>
      </c>
      <c r="C42" s="16" t="s">
        <v>163</v>
      </c>
      <c r="D42" s="7" t="s">
        <v>86</v>
      </c>
      <c r="E42" s="5">
        <f>ROUND(IFERROR(AVERAGEIF(Week1_Individual!$B:$B,$C42,Week1_Individual!$H:$H),0)+IFERROR(VLOOKUP($C42,Week1_Team!$B:$K,10,FALSE()),0),1)</f>
        <v>0</v>
      </c>
      <c r="F42" s="5">
        <f>ROUND(IFERROR(AVERAGEIF(Week2_Individual!$B:$B,$C42,Week2_Individual!$H:$H),0)+IFERROR(VLOOKUP($C42,Week2_Team!$B:$K,10,FALSE()),0),1)</f>
        <v>0</v>
      </c>
      <c r="G42" s="5">
        <f>ROUND(IFERROR(AVERAGEIF(Week3_Individual!$B:$B,$C42,Week3_Individual!$H:$H),0)+IFERROR(VLOOKUP($C42,Week3_Team!$B:$K,10,FALSE()),0),1)</f>
        <v>0</v>
      </c>
      <c r="H42" s="5">
        <f>ROUND(IFERROR(AVERAGEIF(Week4_Individual!$B:$B,$C42,Week4_Individual!$H:$H),0)+IFERROR(VLOOKUP($C42,Week4_Team!$B:$K,10,FALSE()),0),1)</f>
        <v>0</v>
      </c>
      <c r="I42" s="5">
        <f>ROUND(IFERROR(AVERAGEIF(Week5_Individual!$B:$B,$C42,Week5_Individual!$H:$H),0)+IFERROR(VLOOKUP($C42,Week5_Team!$B:$K,10,FALSE()),0),1)</f>
        <v>0</v>
      </c>
      <c r="J42" s="8">
        <v>0.0</v>
      </c>
      <c r="K42" s="9">
        <f t="shared" si="2"/>
        <v>0</v>
      </c>
    </row>
    <row r="43" ht="15.75" customHeight="1">
      <c r="A43" s="6">
        <f t="shared" si="1"/>
        <v>16</v>
      </c>
      <c r="B43" s="7" t="s">
        <v>164</v>
      </c>
      <c r="C43" s="7" t="s">
        <v>165</v>
      </c>
      <c r="D43" s="7" t="s">
        <v>166</v>
      </c>
      <c r="E43" s="5">
        <f>ROUND(IFERROR(AVERAGEIF(Week1_Individual!$B:$B,$C43,Week1_Individual!$H:$H),0)+IFERROR(VLOOKUP($C43,Week1_Team!$B:$K,10,FALSE()),0),1)</f>
        <v>70</v>
      </c>
      <c r="F43" s="5">
        <f>ROUND(IFERROR(AVERAGEIF(Week2_Individual!$B:$B,$C43,Week2_Individual!$H:$H),0)+IFERROR(VLOOKUP($C43,Week2_Team!$B:$K,10,FALSE()),0),1)</f>
        <v>100</v>
      </c>
      <c r="G43" s="5">
        <f>ROUND(IFERROR(AVERAGEIF(Week3_Individual!$B:$B,$C43,Week3_Individual!$H:$H),0)+IFERROR(VLOOKUP($C43,Week3_Team!$B:$K,10,FALSE()),0),1)</f>
        <v>0</v>
      </c>
      <c r="H43" s="5">
        <f>ROUND(IFERROR(AVERAGEIF(Week4_Individual!$B:$B,$C43,Week4_Individual!$H:$H),0)+IFERROR(VLOOKUP($C43,Week4_Team!$B:$K,10,FALSE()),0),1)</f>
        <v>0</v>
      </c>
      <c r="I43" s="5">
        <f>ROUND(IFERROR(AVERAGEIF(Week5_Individual!$B:$B,$C43,Week5_Individual!$H:$H),0)+IFERROR(VLOOKUP($C43,Week5_Team!$B:$K,10,FALSE()),0),1)</f>
        <v>0</v>
      </c>
      <c r="J43" s="8">
        <v>0.0</v>
      </c>
      <c r="K43" s="9">
        <f t="shared" si="2"/>
        <v>170</v>
      </c>
    </row>
    <row r="44" ht="15.75" customHeight="1">
      <c r="A44" s="6">
        <f t="shared" si="1"/>
        <v>31</v>
      </c>
      <c r="B44" s="7" t="s">
        <v>167</v>
      </c>
      <c r="C44" s="7" t="s">
        <v>168</v>
      </c>
      <c r="D44" s="7" t="s">
        <v>81</v>
      </c>
      <c r="E44" s="5">
        <f>ROUND(IFERROR(AVERAGEIF(Week1_Individual!$B:$B,$C44,Week1_Individual!$H:$H),0)+IFERROR(VLOOKUP($C44,Week1_Team!$B:$K,10,FALSE()),0),1)</f>
        <v>0</v>
      </c>
      <c r="F44" s="5">
        <f>ROUND(IFERROR(AVERAGEIF(Week2_Individual!$B:$B,$C44,Week2_Individual!$H:$H),0)+IFERROR(VLOOKUP($C44,Week2_Team!$B:$K,10,FALSE()),0),1)</f>
        <v>20</v>
      </c>
      <c r="G44" s="5">
        <f>ROUND(IFERROR(AVERAGEIF(Week3_Individual!$B:$B,$C44,Week3_Individual!$H:$H),0)+IFERROR(VLOOKUP($C44,Week3_Team!$B:$K,10,FALSE()),0),1)</f>
        <v>0</v>
      </c>
      <c r="H44" s="5">
        <f>ROUND(IFERROR(AVERAGEIF(Week4_Individual!$B:$B,$C44,Week4_Individual!$H:$H),0)+IFERROR(VLOOKUP($C44,Week4_Team!$B:$K,10,FALSE()),0),1)</f>
        <v>0</v>
      </c>
      <c r="I44" s="5">
        <f>ROUND(IFERROR(AVERAGEIF(Week5_Individual!$B:$B,$C44,Week5_Individual!$H:$H),0)+IFERROR(VLOOKUP($C44,Week5_Team!$B:$K,10,FALSE()),0),1)</f>
        <v>0</v>
      </c>
      <c r="J44" s="8">
        <v>0.0</v>
      </c>
      <c r="K44" s="9">
        <f t="shared" si="2"/>
        <v>20</v>
      </c>
    </row>
    <row r="45" ht="15.75" customHeight="1">
      <c r="A45" s="6">
        <f t="shared" si="1"/>
        <v>46</v>
      </c>
      <c r="B45" s="7" t="s">
        <v>169</v>
      </c>
      <c r="C45" s="7" t="s">
        <v>170</v>
      </c>
      <c r="D45" s="7" t="s">
        <v>95</v>
      </c>
      <c r="E45" s="5">
        <f>ROUND(IFERROR(AVERAGEIF(Week1_Individual!$B:$B,$C45,Week1_Individual!$H:$H),0)+IFERROR(VLOOKUP($C45,Week1_Team!$B:$K,10,FALSE()),0),1)</f>
        <v>0</v>
      </c>
      <c r="F45" s="5">
        <f>ROUND(IFERROR(AVERAGEIF(Week2_Individual!$B:$B,$C45,Week2_Individual!$H:$H),0)+IFERROR(VLOOKUP($C45,Week2_Team!$B:$K,10,FALSE()),0),1)</f>
        <v>0</v>
      </c>
      <c r="G45" s="5">
        <f>ROUND(IFERROR(AVERAGEIF(Week3_Individual!$B:$B,$C45,Week3_Individual!$H:$H),0)+IFERROR(VLOOKUP($C45,Week3_Team!$B:$K,10,FALSE()),0),1)</f>
        <v>0</v>
      </c>
      <c r="H45" s="5">
        <f>ROUND(IFERROR(AVERAGEIF(Week4_Individual!$B:$B,$C45,Week4_Individual!$H:$H),0)+IFERROR(VLOOKUP($C45,Week4_Team!$B:$K,10,FALSE()),0),1)</f>
        <v>0</v>
      </c>
      <c r="I45" s="5">
        <f>ROUND(IFERROR(AVERAGEIF(Week5_Individual!$B:$B,$C45,Week5_Individual!$H:$H),0)+IFERROR(VLOOKUP($C45,Week5_Team!$B:$K,10,FALSE()),0),1)</f>
        <v>0</v>
      </c>
      <c r="J45" s="8">
        <v>0.0</v>
      </c>
      <c r="K45" s="9">
        <f t="shared" si="2"/>
        <v>0</v>
      </c>
    </row>
    <row r="46" ht="15.75" customHeight="1">
      <c r="A46" s="6">
        <f t="shared" si="1"/>
        <v>46</v>
      </c>
      <c r="B46" s="7" t="s">
        <v>171</v>
      </c>
      <c r="C46" s="16" t="s">
        <v>172</v>
      </c>
      <c r="D46" s="7" t="s">
        <v>86</v>
      </c>
      <c r="E46" s="5">
        <f>ROUND(IFERROR(AVERAGEIF(Week1_Individual!$B:$B,$C46,Week1_Individual!$H:$H),0)+IFERROR(VLOOKUP($C46,Week1_Team!$B:$K,10,FALSE()),0),1)</f>
        <v>0</v>
      </c>
      <c r="F46" s="5">
        <f>ROUND(IFERROR(AVERAGEIF(Week2_Individual!$B:$B,$C46,Week2_Individual!$H:$H),0)+IFERROR(VLOOKUP($C46,Week2_Team!$B:$K,10,FALSE()),0),1)</f>
        <v>0</v>
      </c>
      <c r="G46" s="5">
        <f>ROUND(IFERROR(AVERAGEIF(Week3_Individual!$B:$B,$C46,Week3_Individual!$H:$H),0)+IFERROR(VLOOKUP($C46,Week3_Team!$B:$K,10,FALSE()),0),1)</f>
        <v>0</v>
      </c>
      <c r="H46" s="5">
        <f>ROUND(IFERROR(AVERAGEIF(Week4_Individual!$B:$B,$C46,Week4_Individual!$H:$H),0)+IFERROR(VLOOKUP($C46,Week4_Team!$B:$K,10,FALSE()),0),1)</f>
        <v>0</v>
      </c>
      <c r="I46" s="5">
        <f>ROUND(IFERROR(AVERAGEIF(Week5_Individual!$B:$B,$C46,Week5_Individual!$H:$H),0)+IFERROR(VLOOKUP($C46,Week5_Team!$B:$K,10,FALSE()),0),1)</f>
        <v>0</v>
      </c>
      <c r="J46" s="8">
        <v>0.0</v>
      </c>
      <c r="K46" s="9">
        <f t="shared" si="2"/>
        <v>0</v>
      </c>
    </row>
    <row r="47" ht="15.75" customHeight="1">
      <c r="A47" s="6">
        <f t="shared" si="1"/>
        <v>6</v>
      </c>
      <c r="B47" s="7" t="s">
        <v>173</v>
      </c>
      <c r="C47" s="7" t="s">
        <v>174</v>
      </c>
      <c r="D47" s="17" t="s">
        <v>95</v>
      </c>
      <c r="E47" s="5">
        <f>ROUND(IFERROR(AVERAGEIF(Week1_Individual!$B:$B,$C47,Week1_Individual!$H:$H),0)+IFERROR(VLOOKUP($C47,Week1_Team!$B:$K,10,FALSE()),0),1)</f>
        <v>95</v>
      </c>
      <c r="F47" s="5">
        <f>ROUND(IFERROR(AVERAGEIF(Week2_Individual!$B:$B,$C47,Week2_Individual!$H:$H),0)+IFERROR(VLOOKUP($C47,Week2_Team!$B:$K,10,FALSE()),0),1)</f>
        <v>130</v>
      </c>
      <c r="G47" s="5">
        <f>ROUND(IFERROR(AVERAGEIF(Week3_Individual!$B:$B,$C47,Week3_Individual!$H:$H),0)+IFERROR(VLOOKUP($C47,Week3_Team!$B:$K,10,FALSE()),0),1)</f>
        <v>0</v>
      </c>
      <c r="H47" s="5">
        <f>ROUND(IFERROR(AVERAGEIF(Week4_Individual!$B:$B,$C47,Week4_Individual!$H:$H),0)+IFERROR(VLOOKUP($C47,Week4_Team!$B:$K,10,FALSE()),0),1)</f>
        <v>0</v>
      </c>
      <c r="I47" s="5">
        <f>ROUND(IFERROR(AVERAGEIF(Week5_Individual!$B:$B,$C47,Week5_Individual!$H:$H),0)+IFERROR(VLOOKUP($C47,Week5_Team!$B:$K,10,FALSE()),0),1)</f>
        <v>0</v>
      </c>
      <c r="J47" s="8">
        <v>0.0</v>
      </c>
      <c r="K47" s="9">
        <f t="shared" si="2"/>
        <v>225</v>
      </c>
    </row>
    <row r="48" ht="15.75" customHeight="1">
      <c r="A48" s="6">
        <f t="shared" si="1"/>
        <v>46</v>
      </c>
      <c r="B48" s="7" t="s">
        <v>175</v>
      </c>
      <c r="C48" s="7" t="s">
        <v>176</v>
      </c>
      <c r="D48" s="7" t="s">
        <v>81</v>
      </c>
      <c r="E48" s="5">
        <f>ROUND(IFERROR(AVERAGEIF(Week1_Individual!$B:$B,$C48,Week1_Individual!$H:$H),0)+IFERROR(VLOOKUP($C48,Week1_Team!$B:$K,10,FALSE()),0),1)</f>
        <v>0</v>
      </c>
      <c r="F48" s="5">
        <f>ROUND(IFERROR(AVERAGEIF(Week2_Individual!$B:$B,$C48,Week2_Individual!$H:$H),0)+IFERROR(VLOOKUP($C48,Week2_Team!$B:$K,10,FALSE()),0),1)</f>
        <v>0</v>
      </c>
      <c r="G48" s="5">
        <f>ROUND(IFERROR(AVERAGEIF(Week3_Individual!$B:$B,$C48,Week3_Individual!$H:$H),0)+IFERROR(VLOOKUP($C48,Week3_Team!$B:$K,10,FALSE()),0),1)</f>
        <v>0</v>
      </c>
      <c r="H48" s="5">
        <f>ROUND(IFERROR(AVERAGEIF(Week4_Individual!$B:$B,$C48,Week4_Individual!$H:$H),0)+IFERROR(VLOOKUP($C48,Week4_Team!$B:$K,10,FALSE()),0),1)</f>
        <v>0</v>
      </c>
      <c r="I48" s="5">
        <f>ROUND(IFERROR(AVERAGEIF(Week5_Individual!$B:$B,$C48,Week5_Individual!$H:$H),0)+IFERROR(VLOOKUP($C48,Week5_Team!$B:$K,10,FALSE()),0),1)</f>
        <v>0</v>
      </c>
      <c r="J48" s="8">
        <v>0.0</v>
      </c>
      <c r="K48" s="9">
        <f t="shared" si="2"/>
        <v>0</v>
      </c>
    </row>
    <row r="49" ht="15.75" customHeight="1">
      <c r="A49" s="6">
        <f t="shared" si="1"/>
        <v>46</v>
      </c>
      <c r="B49" s="7" t="s">
        <v>177</v>
      </c>
      <c r="C49" s="7" t="s">
        <v>178</v>
      </c>
      <c r="D49" s="7" t="s">
        <v>81</v>
      </c>
      <c r="E49" s="5">
        <f>ROUND(IFERROR(AVERAGEIF(Week1_Individual!$B:$B,$C49,Week1_Individual!$H:$H),0)+IFERROR(VLOOKUP($C49,Week1_Team!$B:$K,10,FALSE()),0),1)</f>
        <v>0</v>
      </c>
      <c r="F49" s="5">
        <f>ROUND(IFERROR(AVERAGEIF(Week2_Individual!$B:$B,$C49,Week2_Individual!$H:$H),0)+IFERROR(VLOOKUP($C49,Week2_Team!$B:$K,10,FALSE()),0),1)</f>
        <v>0</v>
      </c>
      <c r="G49" s="5">
        <f>ROUND(IFERROR(AVERAGEIF(Week3_Individual!$B:$B,$C49,Week3_Individual!$H:$H),0)+IFERROR(VLOOKUP($C49,Week3_Team!$B:$K,10,FALSE()),0),1)</f>
        <v>0</v>
      </c>
      <c r="H49" s="5">
        <f>ROUND(IFERROR(AVERAGEIF(Week4_Individual!$B:$B,$C49,Week4_Individual!$H:$H),0)+IFERROR(VLOOKUP($C49,Week4_Team!$B:$K,10,FALSE()),0),1)</f>
        <v>0</v>
      </c>
      <c r="I49" s="5">
        <f>ROUND(IFERROR(AVERAGEIF(Week5_Individual!$B:$B,$C49,Week5_Individual!$H:$H),0)+IFERROR(VLOOKUP($C49,Week5_Team!$B:$K,10,FALSE()),0),1)</f>
        <v>0</v>
      </c>
      <c r="J49" s="8">
        <v>0.0</v>
      </c>
      <c r="K49" s="9">
        <f t="shared" si="2"/>
        <v>0</v>
      </c>
    </row>
    <row r="50" ht="15.75" customHeight="1">
      <c r="A50" s="6">
        <f t="shared" si="1"/>
        <v>46</v>
      </c>
      <c r="B50" s="7" t="s">
        <v>179</v>
      </c>
      <c r="C50" s="7" t="s">
        <v>180</v>
      </c>
      <c r="D50" s="7" t="s">
        <v>95</v>
      </c>
      <c r="E50" s="5">
        <f>ROUND(IFERROR(AVERAGEIF(Week1_Individual!$B:$B,$C50,Week1_Individual!$H:$H),0)+IFERROR(VLOOKUP($C50,Week1_Team!$B:$K,10,FALSE()),0),1)</f>
        <v>0</v>
      </c>
      <c r="F50" s="5">
        <f>ROUND(IFERROR(AVERAGEIF(Week2_Individual!$B:$B,$C50,Week2_Individual!$H:$H),0)+IFERROR(VLOOKUP($C50,Week2_Team!$B:$K,10,FALSE()),0),1)</f>
        <v>0</v>
      </c>
      <c r="G50" s="5">
        <f>ROUND(IFERROR(AVERAGEIF(Week3_Individual!$B:$B,$C50,Week3_Individual!$H:$H),0)+IFERROR(VLOOKUP($C50,Week3_Team!$B:$K,10,FALSE()),0),1)</f>
        <v>0</v>
      </c>
      <c r="H50" s="5">
        <f>ROUND(IFERROR(AVERAGEIF(Week4_Individual!$B:$B,$C50,Week4_Individual!$H:$H),0)+IFERROR(VLOOKUP($C50,Week4_Team!$B:$K,10,FALSE()),0),1)</f>
        <v>0</v>
      </c>
      <c r="I50" s="5">
        <f>ROUND(IFERROR(AVERAGEIF(Week5_Individual!$B:$B,$C50,Week5_Individual!$H:$H),0)+IFERROR(VLOOKUP($C50,Week5_Team!$B:$K,10,FALSE()),0),1)</f>
        <v>0</v>
      </c>
      <c r="J50" s="8">
        <v>0.0</v>
      </c>
      <c r="K50" s="9">
        <f t="shared" si="2"/>
        <v>0</v>
      </c>
    </row>
    <row r="51" ht="15.75" customHeight="1">
      <c r="A51" s="6">
        <f t="shared" si="1"/>
        <v>46</v>
      </c>
      <c r="B51" s="7" t="s">
        <v>181</v>
      </c>
      <c r="C51" s="7" t="s">
        <v>182</v>
      </c>
      <c r="D51" s="7" t="s">
        <v>95</v>
      </c>
      <c r="E51" s="5">
        <f>ROUND(IFERROR(AVERAGEIF(Week1_Individual!$B:$B,$C51,Week1_Individual!$H:$H),0)+IFERROR(VLOOKUP($C51,Week1_Team!$B:$K,10,FALSE()),0),1)</f>
        <v>0</v>
      </c>
      <c r="F51" s="5">
        <f>ROUND(IFERROR(AVERAGEIF(Week2_Individual!$B:$B,$C51,Week2_Individual!$H:$H),0)+IFERROR(VLOOKUP($C51,Week2_Team!$B:$K,10,FALSE()),0),1)</f>
        <v>0</v>
      </c>
      <c r="G51" s="5">
        <f>ROUND(IFERROR(AVERAGEIF(Week3_Individual!$B:$B,$C51,Week3_Individual!$H:$H),0)+IFERROR(VLOOKUP($C51,Week3_Team!$B:$K,10,FALSE()),0),1)</f>
        <v>0</v>
      </c>
      <c r="H51" s="5">
        <f>ROUND(IFERROR(AVERAGEIF(Week4_Individual!$B:$B,$C51,Week4_Individual!$H:$H),0)+IFERROR(VLOOKUP($C51,Week4_Team!$B:$K,10,FALSE()),0),1)</f>
        <v>0</v>
      </c>
      <c r="I51" s="5">
        <f>ROUND(IFERROR(AVERAGEIF(Week5_Individual!$B:$B,$C51,Week5_Individual!$H:$H),0)+IFERROR(VLOOKUP($C51,Week5_Team!$B:$K,10,FALSE()),0),1)</f>
        <v>0</v>
      </c>
      <c r="J51" s="8">
        <v>0.0</v>
      </c>
      <c r="K51" s="9">
        <f t="shared" si="2"/>
        <v>0</v>
      </c>
    </row>
    <row r="52" ht="15.75" customHeight="1">
      <c r="A52" s="6">
        <f t="shared" si="1"/>
        <v>46</v>
      </c>
      <c r="B52" s="7" t="s">
        <v>183</v>
      </c>
      <c r="C52" s="7" t="s">
        <v>184</v>
      </c>
      <c r="D52" s="7" t="s">
        <v>166</v>
      </c>
      <c r="E52" s="5">
        <f>ROUND(IFERROR(AVERAGEIF(Week1_Individual!$B:$B,$C52,Week1_Individual!$H:$H),0)+IFERROR(VLOOKUP($C52,Week1_Team!$B:$K,10,FALSE()),0),1)</f>
        <v>0</v>
      </c>
      <c r="F52" s="5">
        <f>ROUND(IFERROR(AVERAGEIF(Week2_Individual!$B:$B,$C52,Week2_Individual!$H:$H),0)+IFERROR(VLOOKUP($C52,Week2_Team!$B:$K,10,FALSE()),0),1)</f>
        <v>0</v>
      </c>
      <c r="G52" s="5">
        <f>ROUND(IFERROR(AVERAGEIF(Week3_Individual!$B:$B,$C52,Week3_Individual!$H:$H),0)+IFERROR(VLOOKUP($C52,Week3_Team!$B:$K,10,FALSE()),0),1)</f>
        <v>0</v>
      </c>
      <c r="H52" s="5">
        <f>ROUND(IFERROR(AVERAGEIF(Week4_Individual!$B:$B,$C52,Week4_Individual!$H:$H),0)+IFERROR(VLOOKUP($C52,Week4_Team!$B:$K,10,FALSE()),0),1)</f>
        <v>0</v>
      </c>
      <c r="I52" s="5">
        <f>ROUND(IFERROR(AVERAGEIF(Week5_Individual!$B:$B,$C52,Week5_Individual!$H:$H),0)+IFERROR(VLOOKUP($C52,Week5_Team!$B:$K,10,FALSE()),0),1)</f>
        <v>0</v>
      </c>
      <c r="J52" s="8">
        <v>0.0</v>
      </c>
      <c r="K52" s="9">
        <f t="shared" si="2"/>
        <v>0</v>
      </c>
    </row>
    <row r="53" ht="15.75" customHeight="1">
      <c r="A53" s="6">
        <f t="shared" si="1"/>
        <v>6</v>
      </c>
      <c r="B53" s="7" t="s">
        <v>185</v>
      </c>
      <c r="C53" s="7" t="s">
        <v>186</v>
      </c>
      <c r="D53" s="7" t="s">
        <v>81</v>
      </c>
      <c r="E53" s="5">
        <f>ROUND(IFERROR(AVERAGEIF(Week1_Individual!$B:$B,$C53,Week1_Individual!$H:$H),0)+IFERROR(VLOOKUP($C53,Week1_Team!$B:$K,10,FALSE()),0),1)</f>
        <v>95</v>
      </c>
      <c r="F53" s="5">
        <f>ROUND(IFERROR(AVERAGEIF(Week2_Individual!$B:$B,$C53,Week2_Individual!$H:$H),0)+IFERROR(VLOOKUP($C53,Week2_Team!$B:$K,10,FALSE()),0),1)</f>
        <v>130</v>
      </c>
      <c r="G53" s="5">
        <f>ROUND(IFERROR(AVERAGEIF(Week3_Individual!$B:$B,$C53,Week3_Individual!$H:$H),0)+IFERROR(VLOOKUP($C53,Week3_Team!$B:$K,10,FALSE()),0),1)</f>
        <v>0</v>
      </c>
      <c r="H53" s="5">
        <f>ROUND(IFERROR(AVERAGEIF(Week4_Individual!$B:$B,$C53,Week4_Individual!$H:$H),0)+IFERROR(VLOOKUP($C53,Week4_Team!$B:$K,10,FALSE()),0),1)</f>
        <v>0</v>
      </c>
      <c r="I53" s="5">
        <f>ROUND(IFERROR(AVERAGEIF(Week5_Individual!$B:$B,$C53,Week5_Individual!$H:$H),0)+IFERROR(VLOOKUP($C53,Week5_Team!$B:$K,10,FALSE()),0),1)</f>
        <v>0</v>
      </c>
      <c r="J53" s="8">
        <v>0.0</v>
      </c>
      <c r="K53" s="9">
        <f t="shared" si="2"/>
        <v>225</v>
      </c>
    </row>
    <row r="54" ht="15.75" customHeight="1">
      <c r="A54" s="6">
        <f t="shared" si="1"/>
        <v>12</v>
      </c>
      <c r="B54" s="7" t="s">
        <v>187</v>
      </c>
      <c r="C54" s="7" t="s">
        <v>188</v>
      </c>
      <c r="D54" s="7" t="s">
        <v>166</v>
      </c>
      <c r="E54" s="5">
        <f>ROUND(IFERROR(AVERAGEIF(Week1_Individual!$B:$B,$C54,Week1_Individual!$H:$H),0)+IFERROR(VLOOKUP($C54,Week1_Team!$B:$K,10,FALSE()),0),1)</f>
        <v>93.3</v>
      </c>
      <c r="F54" s="5">
        <f>ROUND(IFERROR(AVERAGEIF(Week2_Individual!$B:$B,$C54,Week2_Individual!$H:$H),0)+IFERROR(VLOOKUP($C54,Week2_Team!$B:$K,10,FALSE()),0),1)</f>
        <v>88.3</v>
      </c>
      <c r="G54" s="5">
        <f>ROUND(IFERROR(AVERAGEIF(Week3_Individual!$B:$B,$C54,Week3_Individual!$H:$H),0)+IFERROR(VLOOKUP($C54,Week3_Team!$B:$K,10,FALSE()),0),1)</f>
        <v>0</v>
      </c>
      <c r="H54" s="5">
        <f>ROUND(IFERROR(AVERAGEIF(Week4_Individual!$B:$B,$C54,Week4_Individual!$H:$H),0)+IFERROR(VLOOKUP($C54,Week4_Team!$B:$K,10,FALSE()),0),1)</f>
        <v>0</v>
      </c>
      <c r="I54" s="5">
        <f>ROUND(IFERROR(AVERAGEIF(Week5_Individual!$B:$B,$C54,Week5_Individual!$H:$H),0)+IFERROR(VLOOKUP($C54,Week5_Team!$B:$K,10,FALSE()),0),1)</f>
        <v>0</v>
      </c>
      <c r="J54" s="8">
        <v>0.0</v>
      </c>
      <c r="K54" s="9">
        <f t="shared" si="2"/>
        <v>181.6</v>
      </c>
    </row>
    <row r="55" ht="15.75" customHeight="1">
      <c r="A55" s="6">
        <f t="shared" si="1"/>
        <v>46</v>
      </c>
      <c r="B55" s="7" t="s">
        <v>189</v>
      </c>
      <c r="C55" s="16" t="s">
        <v>190</v>
      </c>
      <c r="D55" s="7" t="s">
        <v>86</v>
      </c>
      <c r="E55" s="5">
        <f>ROUND(IFERROR(AVERAGEIF(Week1_Individual!$B:$B,$C55,Week1_Individual!$H:$H),0)+IFERROR(VLOOKUP($C55,Week1_Team!$B:$K,10,FALSE()),0),1)</f>
        <v>0</v>
      </c>
      <c r="F55" s="5">
        <f>ROUND(IFERROR(AVERAGEIF(Week2_Individual!$B:$B,$C55,Week2_Individual!$H:$H),0)+IFERROR(VLOOKUP($C55,Week2_Team!$B:$K,10,FALSE()),0),1)</f>
        <v>0</v>
      </c>
      <c r="G55" s="5">
        <f>ROUND(IFERROR(AVERAGEIF(Week3_Individual!$B:$B,$C55,Week3_Individual!$H:$H),0)+IFERROR(VLOOKUP($C55,Week3_Team!$B:$K,10,FALSE()),0),1)</f>
        <v>0</v>
      </c>
      <c r="H55" s="5">
        <f>ROUND(IFERROR(AVERAGEIF(Week4_Individual!$B:$B,$C55,Week4_Individual!$H:$H),0)+IFERROR(VLOOKUP($C55,Week4_Team!$B:$K,10,FALSE()),0),1)</f>
        <v>0</v>
      </c>
      <c r="I55" s="5">
        <f>ROUND(IFERROR(AVERAGEIF(Week5_Individual!$B:$B,$C55,Week5_Individual!$H:$H),0)+IFERROR(VLOOKUP($C55,Week5_Team!$B:$K,10,FALSE()),0),1)</f>
        <v>0</v>
      </c>
      <c r="J55" s="8">
        <v>0.0</v>
      </c>
      <c r="K55" s="9">
        <f t="shared" si="2"/>
        <v>0</v>
      </c>
    </row>
    <row r="56" ht="15.75" customHeight="1">
      <c r="A56" s="6">
        <f t="shared" si="1"/>
        <v>46</v>
      </c>
      <c r="B56" s="7" t="s">
        <v>191</v>
      </c>
      <c r="C56" s="16" t="s">
        <v>192</v>
      </c>
      <c r="D56" s="7" t="s">
        <v>86</v>
      </c>
      <c r="E56" s="5">
        <f>ROUND(IFERROR(AVERAGEIF(Week1_Individual!$B:$B,$C56,Week1_Individual!$H:$H),0)+IFERROR(VLOOKUP($C56,Week1_Team!$B:$K,10,FALSE()),0),1)</f>
        <v>0</v>
      </c>
      <c r="F56" s="5">
        <f>ROUND(IFERROR(AVERAGEIF(Week2_Individual!$B:$B,$C56,Week2_Individual!$H:$H),0)+IFERROR(VLOOKUP($C56,Week2_Team!$B:$K,10,FALSE()),0),1)</f>
        <v>0</v>
      </c>
      <c r="G56" s="5">
        <f>ROUND(IFERROR(AVERAGEIF(Week3_Individual!$B:$B,$C56,Week3_Individual!$H:$H),0)+IFERROR(VLOOKUP($C56,Week3_Team!$B:$K,10,FALSE()),0),1)</f>
        <v>0</v>
      </c>
      <c r="H56" s="5">
        <f>ROUND(IFERROR(AVERAGEIF(Week4_Individual!$B:$B,$C56,Week4_Individual!$H:$H),0)+IFERROR(VLOOKUP($C56,Week4_Team!$B:$K,10,FALSE()),0),1)</f>
        <v>0</v>
      </c>
      <c r="I56" s="5">
        <f>ROUND(IFERROR(AVERAGEIF(Week5_Individual!$B:$B,$C56,Week5_Individual!$H:$H),0)+IFERROR(VLOOKUP($C56,Week5_Team!$B:$K,10,FALSE()),0),1)</f>
        <v>0</v>
      </c>
      <c r="J56" s="8">
        <v>0.0</v>
      </c>
      <c r="K56" s="9">
        <f t="shared" si="2"/>
        <v>0</v>
      </c>
    </row>
    <row r="57" ht="15.75" customHeight="1">
      <c r="A57" s="6">
        <f t="shared" si="1"/>
        <v>35</v>
      </c>
      <c r="B57" s="7" t="s">
        <v>193</v>
      </c>
      <c r="C57" s="7" t="s">
        <v>194</v>
      </c>
      <c r="D57" s="7" t="s">
        <v>95</v>
      </c>
      <c r="E57" s="5">
        <f>ROUND(IFERROR(AVERAGEIF(Week1_Individual!$B:$B,$C57,Week1_Individual!$H:$H),0)+IFERROR(VLOOKUP($C57,Week1_Team!$B:$K,10,FALSE()),0),1)</f>
        <v>10</v>
      </c>
      <c r="F57" s="5">
        <f>ROUND(IFERROR(AVERAGEIF(Week2_Individual!$B:$B,$C57,Week2_Individual!$H:$H),0)+IFERROR(VLOOKUP($C57,Week2_Team!$B:$K,10,FALSE()),0),1)</f>
        <v>0</v>
      </c>
      <c r="G57" s="5">
        <f>ROUND(IFERROR(AVERAGEIF(Week3_Individual!$B:$B,$C57,Week3_Individual!$H:$H),0)+IFERROR(VLOOKUP($C57,Week3_Team!$B:$K,10,FALSE()),0),1)</f>
        <v>0</v>
      </c>
      <c r="H57" s="5">
        <f>ROUND(IFERROR(AVERAGEIF(Week4_Individual!$B:$B,$C57,Week4_Individual!$H:$H),0)+IFERROR(VLOOKUP($C57,Week4_Team!$B:$K,10,FALSE()),0),1)</f>
        <v>0</v>
      </c>
      <c r="I57" s="5">
        <f>ROUND(IFERROR(AVERAGEIF(Week5_Individual!$B:$B,$C57,Week5_Individual!$H:$H),0)+IFERROR(VLOOKUP($C57,Week5_Team!$B:$K,10,FALSE()),0),1)</f>
        <v>0</v>
      </c>
      <c r="J57" s="8">
        <v>0.0</v>
      </c>
      <c r="K57" s="9">
        <f t="shared" si="2"/>
        <v>10</v>
      </c>
    </row>
    <row r="58" ht="15.75" customHeight="1">
      <c r="A58" s="6">
        <f t="shared" si="1"/>
        <v>46</v>
      </c>
      <c r="B58" s="7" t="s">
        <v>195</v>
      </c>
      <c r="C58" s="7" t="s">
        <v>196</v>
      </c>
      <c r="D58" s="7" t="s">
        <v>81</v>
      </c>
      <c r="E58" s="5">
        <f>ROUND(IFERROR(AVERAGEIF(Week1_Individual!$B:$B,$C58,Week1_Individual!$H:$H),0)+IFERROR(VLOOKUP($C58,Week1_Team!$B:$K,10,FALSE()),0),1)</f>
        <v>0</v>
      </c>
      <c r="F58" s="5">
        <f>ROUND(IFERROR(AVERAGEIF(Week2_Individual!$B:$B,$C58,Week2_Individual!$H:$H),0)+IFERROR(VLOOKUP($C58,Week2_Team!$B:$K,10,FALSE()),0),1)</f>
        <v>0</v>
      </c>
      <c r="G58" s="5">
        <f>ROUND(IFERROR(AVERAGEIF(Week3_Individual!$B:$B,$C58,Week3_Individual!$H:$H),0)+IFERROR(VLOOKUP($C58,Week3_Team!$B:$K,10,FALSE()),0),1)</f>
        <v>0</v>
      </c>
      <c r="H58" s="5">
        <f>ROUND(IFERROR(AVERAGEIF(Week4_Individual!$B:$B,$C58,Week4_Individual!$H:$H),0)+IFERROR(VLOOKUP($C58,Week4_Team!$B:$K,10,FALSE()),0),1)</f>
        <v>0</v>
      </c>
      <c r="I58" s="5">
        <f>ROUND(IFERROR(AVERAGEIF(Week5_Individual!$B:$B,$C58,Week5_Individual!$H:$H),0)+IFERROR(VLOOKUP($C58,Week5_Team!$B:$K,10,FALSE()),0),1)</f>
        <v>0</v>
      </c>
      <c r="J58" s="8">
        <v>0.0</v>
      </c>
      <c r="K58" s="9">
        <f t="shared" si="2"/>
        <v>0</v>
      </c>
    </row>
    <row r="59" ht="15.75" customHeight="1">
      <c r="A59" s="6">
        <f t="shared" si="1"/>
        <v>46</v>
      </c>
      <c r="B59" s="7" t="s">
        <v>197</v>
      </c>
      <c r="C59" s="7" t="s">
        <v>198</v>
      </c>
      <c r="D59" s="7" t="s">
        <v>95</v>
      </c>
      <c r="E59" s="5">
        <f>ROUND(IFERROR(AVERAGEIF(Week1_Individual!$B:$B,$C59,Week1_Individual!$H:$H),0)+IFERROR(VLOOKUP($C59,Week1_Team!$B:$K,10,FALSE()),0),1)</f>
        <v>0</v>
      </c>
      <c r="F59" s="5">
        <f>ROUND(IFERROR(AVERAGEIF(Week2_Individual!$B:$B,$C59,Week2_Individual!$H:$H),0)+IFERROR(VLOOKUP($C59,Week2_Team!$B:$K,10,FALSE()),0),1)</f>
        <v>0</v>
      </c>
      <c r="G59" s="5">
        <f>ROUND(IFERROR(AVERAGEIF(Week3_Individual!$B:$B,$C59,Week3_Individual!$H:$H),0)+IFERROR(VLOOKUP($C59,Week3_Team!$B:$K,10,FALSE()),0),1)</f>
        <v>0</v>
      </c>
      <c r="H59" s="5">
        <f>ROUND(IFERROR(AVERAGEIF(Week4_Individual!$B:$B,$C59,Week4_Individual!$H:$H),0)+IFERROR(VLOOKUP($C59,Week4_Team!$B:$K,10,FALSE()),0),1)</f>
        <v>0</v>
      </c>
      <c r="I59" s="5">
        <f>ROUND(IFERROR(AVERAGEIF(Week5_Individual!$B:$B,$C59,Week5_Individual!$H:$H),0)+IFERROR(VLOOKUP($C59,Week5_Team!$B:$K,10,FALSE()),0),1)</f>
        <v>0</v>
      </c>
      <c r="J59" s="8">
        <v>0.0</v>
      </c>
      <c r="K59" s="9">
        <f t="shared" si="2"/>
        <v>0</v>
      </c>
    </row>
    <row r="60" ht="15.75" customHeight="1">
      <c r="A60" s="6">
        <f t="shared" si="1"/>
        <v>46</v>
      </c>
      <c r="B60" s="7" t="s">
        <v>199</v>
      </c>
      <c r="C60" s="16" t="s">
        <v>200</v>
      </c>
      <c r="D60" s="7" t="s">
        <v>86</v>
      </c>
      <c r="E60" s="5">
        <f>ROUND(IFERROR(AVERAGEIF(Week1_Individual!$B:$B,$C60,Week1_Individual!$H:$H),0)+IFERROR(VLOOKUP($C60,Week1_Team!$B:$K,10,FALSE()),0),1)</f>
        <v>0</v>
      </c>
      <c r="F60" s="5">
        <f>ROUND(IFERROR(AVERAGEIF(Week2_Individual!$B:$B,$C60,Week2_Individual!$H:$H),0)+IFERROR(VLOOKUP($C60,Week2_Team!$B:$K,10,FALSE()),0),1)</f>
        <v>0</v>
      </c>
      <c r="G60" s="5">
        <f>ROUND(IFERROR(AVERAGEIF(Week3_Individual!$B:$B,$C60,Week3_Individual!$H:$H),0)+IFERROR(VLOOKUP($C60,Week3_Team!$B:$K,10,FALSE()),0),1)</f>
        <v>0</v>
      </c>
      <c r="H60" s="5">
        <f>ROUND(IFERROR(AVERAGEIF(Week4_Individual!$B:$B,$C60,Week4_Individual!$H:$H),0)+IFERROR(VLOOKUP($C60,Week4_Team!$B:$K,10,FALSE()),0),1)</f>
        <v>0</v>
      </c>
      <c r="I60" s="5">
        <f>ROUND(IFERROR(AVERAGEIF(Week5_Individual!$B:$B,$C60,Week5_Individual!$H:$H),0)+IFERROR(VLOOKUP($C60,Week5_Team!$B:$K,10,FALSE()),0),1)</f>
        <v>0</v>
      </c>
      <c r="J60" s="8">
        <v>0.0</v>
      </c>
      <c r="K60" s="9">
        <f t="shared" si="2"/>
        <v>0</v>
      </c>
    </row>
    <row r="61" ht="15.75" customHeight="1">
      <c r="A61" s="6">
        <f t="shared" si="1"/>
        <v>33</v>
      </c>
      <c r="B61" s="7" t="s">
        <v>201</v>
      </c>
      <c r="C61" s="16" t="s">
        <v>202</v>
      </c>
      <c r="D61" s="7" t="s">
        <v>86</v>
      </c>
      <c r="E61" s="5">
        <f>ROUND(IFERROR(AVERAGEIF(Week1_Individual!$B:$B,$C61,Week1_Individual!$H:$H),0)+IFERROR(VLOOKUP($C61,Week1_Team!$B:$K,10,FALSE()),0),1)</f>
        <v>0</v>
      </c>
      <c r="F61" s="5">
        <f>ROUND(IFERROR(AVERAGEIF(Week2_Individual!$B:$B,$C61,Week2_Individual!$H:$H),0)+IFERROR(VLOOKUP($C61,Week2_Team!$B:$K,10,FALSE()),0),1)</f>
        <v>15</v>
      </c>
      <c r="G61" s="5">
        <f>ROUND(IFERROR(AVERAGEIF(Week3_Individual!$B:$B,$C61,Week3_Individual!$H:$H),0)+IFERROR(VLOOKUP($C61,Week3_Team!$B:$K,10,FALSE()),0),1)</f>
        <v>0</v>
      </c>
      <c r="H61" s="5">
        <f>ROUND(IFERROR(AVERAGEIF(Week4_Individual!$B:$B,$C61,Week4_Individual!$H:$H),0)+IFERROR(VLOOKUP($C61,Week4_Team!$B:$K,10,FALSE()),0),1)</f>
        <v>0</v>
      </c>
      <c r="I61" s="5">
        <f>ROUND(IFERROR(AVERAGEIF(Week5_Individual!$B:$B,$C61,Week5_Individual!$H:$H),0)+IFERROR(VLOOKUP($C61,Week5_Team!$B:$K,10,FALSE()),0),1)</f>
        <v>0</v>
      </c>
      <c r="J61" s="8">
        <v>0.0</v>
      </c>
      <c r="K61" s="9">
        <f t="shared" si="2"/>
        <v>15</v>
      </c>
    </row>
    <row r="62" ht="15.75" customHeight="1">
      <c r="A62" s="6">
        <f t="shared" si="1"/>
        <v>46</v>
      </c>
      <c r="B62" s="7" t="s">
        <v>203</v>
      </c>
      <c r="C62" s="7" t="s">
        <v>204</v>
      </c>
      <c r="D62" s="7" t="s">
        <v>81</v>
      </c>
      <c r="E62" s="5">
        <f>ROUND(IFERROR(AVERAGEIF(Week1_Individual!$B:$B,$C62,Week1_Individual!$H:$H),0)+IFERROR(VLOOKUP($C62,Week1_Team!$B:$K,10,FALSE()),0),1)</f>
        <v>0</v>
      </c>
      <c r="F62" s="5">
        <f>ROUND(IFERROR(AVERAGEIF(Week2_Individual!$B:$B,$C62,Week2_Individual!$H:$H),0)+IFERROR(VLOOKUP($C62,Week2_Team!$B:$K,10,FALSE()),0),1)</f>
        <v>0</v>
      </c>
      <c r="G62" s="5">
        <f>ROUND(IFERROR(AVERAGEIF(Week3_Individual!$B:$B,$C62,Week3_Individual!$H:$H),0)+IFERROR(VLOOKUP($C62,Week3_Team!$B:$K,10,FALSE()),0),1)</f>
        <v>0</v>
      </c>
      <c r="H62" s="5">
        <f>ROUND(IFERROR(AVERAGEIF(Week4_Individual!$B:$B,$C62,Week4_Individual!$H:$H),0)+IFERROR(VLOOKUP($C62,Week4_Team!$B:$K,10,FALSE()),0),1)</f>
        <v>0</v>
      </c>
      <c r="I62" s="5">
        <f>ROUND(IFERROR(AVERAGEIF(Week5_Individual!$B:$B,$C62,Week5_Individual!$H:$H),0)+IFERROR(VLOOKUP($C62,Week5_Team!$B:$K,10,FALSE()),0),1)</f>
        <v>0</v>
      </c>
      <c r="J62" s="8">
        <v>0.0</v>
      </c>
      <c r="K62" s="9">
        <f t="shared" si="2"/>
        <v>0</v>
      </c>
    </row>
    <row r="63" ht="15.75" customHeight="1">
      <c r="A63" s="6">
        <f t="shared" si="1"/>
        <v>46</v>
      </c>
      <c r="B63" s="7" t="s">
        <v>205</v>
      </c>
      <c r="C63" s="7" t="s">
        <v>206</v>
      </c>
      <c r="D63" s="7" t="s">
        <v>166</v>
      </c>
      <c r="E63" s="5">
        <f>ROUND(IFERROR(AVERAGEIF(Week1_Individual!$B:$B,$C63,Week1_Individual!$H:$H),0)+IFERROR(VLOOKUP($C63,Week1_Team!$B:$K,10,FALSE()),0),1)</f>
        <v>0</v>
      </c>
      <c r="F63" s="5">
        <f>ROUND(IFERROR(AVERAGEIF(Week2_Individual!$B:$B,$C63,Week2_Individual!$H:$H),0)+IFERROR(VLOOKUP($C63,Week2_Team!$B:$K,10,FALSE()),0),1)</f>
        <v>0</v>
      </c>
      <c r="G63" s="5">
        <f>ROUND(IFERROR(AVERAGEIF(Week3_Individual!$B:$B,$C63,Week3_Individual!$H:$H),0)+IFERROR(VLOOKUP($C63,Week3_Team!$B:$K,10,FALSE()),0),1)</f>
        <v>0</v>
      </c>
      <c r="H63" s="5">
        <f>ROUND(IFERROR(AVERAGEIF(Week4_Individual!$B:$B,$C63,Week4_Individual!$H:$H),0)+IFERROR(VLOOKUP($C63,Week4_Team!$B:$K,10,FALSE()),0),1)</f>
        <v>0</v>
      </c>
      <c r="I63" s="5">
        <f>ROUND(IFERROR(AVERAGEIF(Week5_Individual!$B:$B,$C63,Week5_Individual!$H:$H),0)+IFERROR(VLOOKUP($C63,Week5_Team!$B:$K,10,FALSE()),0),1)</f>
        <v>0</v>
      </c>
      <c r="J63" s="8">
        <v>0.0</v>
      </c>
      <c r="K63" s="9">
        <f t="shared" si="2"/>
        <v>0</v>
      </c>
    </row>
    <row r="64" ht="15.75" customHeight="1">
      <c r="A64" s="6">
        <f t="shared" si="1"/>
        <v>24</v>
      </c>
      <c r="B64" s="7" t="s">
        <v>207</v>
      </c>
      <c r="C64" s="7" t="s">
        <v>208</v>
      </c>
      <c r="D64" s="7" t="s">
        <v>95</v>
      </c>
      <c r="E64" s="5">
        <f>ROUND(IFERROR(AVERAGEIF(Week1_Individual!$B:$B,$C64,Week1_Individual!$H:$H),0)+IFERROR(VLOOKUP($C64,Week1_Team!$B:$K,10,FALSE()),0),1)</f>
        <v>0</v>
      </c>
      <c r="F64" s="5">
        <f>ROUND(IFERROR(AVERAGEIF(Week2_Individual!$B:$B,$C64,Week2_Individual!$H:$H),0)+IFERROR(VLOOKUP($C64,Week2_Team!$B:$K,10,FALSE()),0),1)</f>
        <v>50</v>
      </c>
      <c r="G64" s="5">
        <f>ROUND(IFERROR(AVERAGEIF(Week3_Individual!$B:$B,$C64,Week3_Individual!$H:$H),0)+IFERROR(VLOOKUP($C64,Week3_Team!$B:$K,10,FALSE()),0),1)</f>
        <v>0</v>
      </c>
      <c r="H64" s="5">
        <f>ROUND(IFERROR(AVERAGEIF(Week4_Individual!$B:$B,$C64,Week4_Individual!$H:$H),0)+IFERROR(VLOOKUP($C64,Week4_Team!$B:$K,10,FALSE()),0),1)</f>
        <v>0</v>
      </c>
      <c r="I64" s="5">
        <f>ROUND(IFERROR(AVERAGEIF(Week5_Individual!$B:$B,$C64,Week5_Individual!$H:$H),0)+IFERROR(VLOOKUP($C64,Week5_Team!$B:$K,10,FALSE()),0),1)</f>
        <v>0</v>
      </c>
      <c r="J64" s="8">
        <v>0.0</v>
      </c>
      <c r="K64" s="9">
        <f t="shared" si="2"/>
        <v>50</v>
      </c>
    </row>
    <row r="65" ht="15.75" customHeight="1">
      <c r="A65" s="6">
        <f t="shared" si="1"/>
        <v>30</v>
      </c>
      <c r="B65" s="7" t="s">
        <v>209</v>
      </c>
      <c r="C65" s="7" t="s">
        <v>210</v>
      </c>
      <c r="D65" s="7" t="s">
        <v>81</v>
      </c>
      <c r="E65" s="5">
        <f>ROUND(IFERROR(AVERAGEIF(Week1_Individual!$B:$B,$C65,Week1_Individual!$H:$H),0)+IFERROR(VLOOKUP($C65,Week1_Team!$B:$K,10,FALSE()),0),1)</f>
        <v>26.7</v>
      </c>
      <c r="F65" s="5">
        <f>ROUND(IFERROR(AVERAGEIF(Week2_Individual!$B:$B,$C65,Week2_Individual!$H:$H),0)+IFERROR(VLOOKUP($C65,Week2_Team!$B:$K,10,FALSE()),0),1)</f>
        <v>0</v>
      </c>
      <c r="G65" s="5">
        <f>ROUND(IFERROR(AVERAGEIF(Week3_Individual!$B:$B,$C65,Week3_Individual!$H:$H),0)+IFERROR(VLOOKUP($C65,Week3_Team!$B:$K,10,FALSE()),0),1)</f>
        <v>0</v>
      </c>
      <c r="H65" s="5">
        <f>ROUND(IFERROR(AVERAGEIF(Week4_Individual!$B:$B,$C65,Week4_Individual!$H:$H),0)+IFERROR(VLOOKUP($C65,Week4_Team!$B:$K,10,FALSE()),0),1)</f>
        <v>0</v>
      </c>
      <c r="I65" s="5">
        <f>ROUND(IFERROR(AVERAGEIF(Week5_Individual!$B:$B,$C65,Week5_Individual!$H:$H),0)+IFERROR(VLOOKUP($C65,Week5_Team!$B:$K,10,FALSE()),0),1)</f>
        <v>0</v>
      </c>
      <c r="J65" s="8">
        <v>0.0</v>
      </c>
      <c r="K65" s="9">
        <f t="shared" si="2"/>
        <v>26.7</v>
      </c>
    </row>
    <row r="66" ht="15.75" customHeight="1">
      <c r="A66" s="6">
        <f t="shared" si="1"/>
        <v>46</v>
      </c>
      <c r="B66" s="7" t="s">
        <v>211</v>
      </c>
      <c r="C66" s="16" t="s">
        <v>212</v>
      </c>
      <c r="D66" s="7" t="s">
        <v>86</v>
      </c>
      <c r="E66" s="5">
        <f>ROUND(IFERROR(AVERAGEIF(Week1_Individual!$B:$B,$C66,Week1_Individual!$H:$H),0)+IFERROR(VLOOKUP($C66,Week1_Team!$B:$K,10,FALSE()),0),1)</f>
        <v>0</v>
      </c>
      <c r="F66" s="5">
        <f>ROUND(IFERROR(AVERAGEIF(Week2_Individual!$B:$B,$C66,Week2_Individual!$H:$H),0)+IFERROR(VLOOKUP($C66,Week2_Team!$B:$K,10,FALSE()),0),1)</f>
        <v>0</v>
      </c>
      <c r="G66" s="5">
        <f>ROUND(IFERROR(AVERAGEIF(Week3_Individual!$B:$B,$C66,Week3_Individual!$H:$H),0)+IFERROR(VLOOKUP($C66,Week3_Team!$B:$K,10,FALSE()),0),1)</f>
        <v>0</v>
      </c>
      <c r="H66" s="5">
        <f>ROUND(IFERROR(AVERAGEIF(Week4_Individual!$B:$B,$C66,Week4_Individual!$H:$H),0)+IFERROR(VLOOKUP($C66,Week4_Team!$B:$K,10,FALSE()),0),1)</f>
        <v>0</v>
      </c>
      <c r="I66" s="5">
        <f>ROUND(IFERROR(AVERAGEIF(Week5_Individual!$B:$B,$C66,Week5_Individual!$H:$H),0)+IFERROR(VLOOKUP($C66,Week5_Team!$B:$K,10,FALSE()),0),1)</f>
        <v>0</v>
      </c>
      <c r="J66" s="8">
        <v>0.0</v>
      </c>
      <c r="K66" s="9">
        <f t="shared" si="2"/>
        <v>0</v>
      </c>
    </row>
    <row r="67" ht="15.75" customHeight="1">
      <c r="A67" s="6">
        <f t="shared" si="1"/>
        <v>35</v>
      </c>
      <c r="B67" s="7" t="s">
        <v>213</v>
      </c>
      <c r="C67" s="16" t="s">
        <v>214</v>
      </c>
      <c r="D67" s="7" t="s">
        <v>86</v>
      </c>
      <c r="E67" s="5">
        <f>ROUND(IFERROR(AVERAGEIF(Week1_Individual!$B:$B,$C67,Week1_Individual!$H:$H),0)+IFERROR(VLOOKUP($C67,Week1_Team!$B:$K,10,FALSE()),0),1)</f>
        <v>10</v>
      </c>
      <c r="F67" s="5">
        <f>ROUND(IFERROR(AVERAGEIF(Week2_Individual!$B:$B,$C67,Week2_Individual!$H:$H),0)+IFERROR(VLOOKUP($C67,Week2_Team!$B:$K,10,FALSE()),0),1)</f>
        <v>0</v>
      </c>
      <c r="G67" s="5">
        <f>ROUND(IFERROR(AVERAGEIF(Week3_Individual!$B:$B,$C67,Week3_Individual!$H:$H),0)+IFERROR(VLOOKUP($C67,Week3_Team!$B:$K,10,FALSE()),0),1)</f>
        <v>0</v>
      </c>
      <c r="H67" s="5">
        <f>ROUND(IFERROR(AVERAGEIF(Week4_Individual!$B:$B,$C67,Week4_Individual!$H:$H),0)+IFERROR(VLOOKUP($C67,Week4_Team!$B:$K,10,FALSE()),0),1)</f>
        <v>0</v>
      </c>
      <c r="I67" s="5">
        <f>ROUND(IFERROR(AVERAGEIF(Week5_Individual!$B:$B,$C67,Week5_Individual!$H:$H),0)+IFERROR(VLOOKUP($C67,Week5_Team!$B:$K,10,FALSE()),0),1)</f>
        <v>0</v>
      </c>
      <c r="J67" s="8">
        <v>0.0</v>
      </c>
      <c r="K67" s="9">
        <f t="shared" si="2"/>
        <v>10</v>
      </c>
    </row>
    <row r="68" ht="15.75" customHeight="1">
      <c r="A68" s="6">
        <f t="shared" si="1"/>
        <v>13</v>
      </c>
      <c r="B68" s="7" t="s">
        <v>215</v>
      </c>
      <c r="C68" s="7" t="s">
        <v>216</v>
      </c>
      <c r="D68" s="7" t="s">
        <v>81</v>
      </c>
      <c r="E68" s="5">
        <f>ROUND(IFERROR(AVERAGEIF(Week1_Individual!$B:$B,$C68,Week1_Individual!$H:$H),0)+IFERROR(VLOOKUP($C68,Week1_Team!$B:$K,10,FALSE()),0),1)</f>
        <v>70</v>
      </c>
      <c r="F68" s="5">
        <f>ROUND(IFERROR(AVERAGEIF(Week2_Individual!$B:$B,$C68,Week2_Individual!$H:$H),0)+IFERROR(VLOOKUP($C68,Week2_Team!$B:$K,10,FALSE()),0),1)</f>
        <v>110</v>
      </c>
      <c r="G68" s="5">
        <f>ROUND(IFERROR(AVERAGEIF(Week3_Individual!$B:$B,$C68,Week3_Individual!$H:$H),0)+IFERROR(VLOOKUP($C68,Week3_Team!$B:$K,10,FALSE()),0),1)</f>
        <v>0</v>
      </c>
      <c r="H68" s="5">
        <f>ROUND(IFERROR(AVERAGEIF(Week4_Individual!$B:$B,$C68,Week4_Individual!$H:$H),0)+IFERROR(VLOOKUP($C68,Week4_Team!$B:$K,10,FALSE()),0),1)</f>
        <v>0</v>
      </c>
      <c r="I68" s="5">
        <f>ROUND(IFERROR(AVERAGEIF(Week5_Individual!$B:$B,$C68,Week5_Individual!$H:$H),0)+IFERROR(VLOOKUP($C68,Week5_Team!$B:$K,10,FALSE()),0),1)</f>
        <v>0</v>
      </c>
      <c r="J68" s="8">
        <v>0.0</v>
      </c>
      <c r="K68" s="9">
        <f t="shared" si="2"/>
        <v>180</v>
      </c>
    </row>
    <row r="69" ht="15.75" customHeight="1">
      <c r="A69" s="6">
        <f t="shared" si="1"/>
        <v>46</v>
      </c>
      <c r="B69" s="7" t="s">
        <v>217</v>
      </c>
      <c r="C69" s="7" t="s">
        <v>218</v>
      </c>
      <c r="D69" s="7" t="s">
        <v>95</v>
      </c>
      <c r="E69" s="5">
        <f>ROUND(IFERROR(AVERAGEIF(Week1_Individual!$B:$B,$C69,Week1_Individual!$H:$H),0)+IFERROR(VLOOKUP($C69,Week1_Team!$B:$K,10,FALSE()),0),1)</f>
        <v>0</v>
      </c>
      <c r="F69" s="5">
        <f>ROUND(IFERROR(AVERAGEIF(Week2_Individual!$B:$B,$C69,Week2_Individual!$H:$H),0)+IFERROR(VLOOKUP($C69,Week2_Team!$B:$K,10,FALSE()),0),1)</f>
        <v>0</v>
      </c>
      <c r="G69" s="5">
        <f>ROUND(IFERROR(AVERAGEIF(Week3_Individual!$B:$B,$C69,Week3_Individual!$H:$H),0)+IFERROR(VLOOKUP($C69,Week3_Team!$B:$K,10,FALSE()),0),1)</f>
        <v>0</v>
      </c>
      <c r="H69" s="5">
        <f>ROUND(IFERROR(AVERAGEIF(Week4_Individual!$B:$B,$C69,Week4_Individual!$H:$H),0)+IFERROR(VLOOKUP($C69,Week4_Team!$B:$K,10,FALSE()),0),1)</f>
        <v>0</v>
      </c>
      <c r="I69" s="5">
        <f>ROUND(IFERROR(AVERAGEIF(Week5_Individual!$B:$B,$C69,Week5_Individual!$H:$H),0)+IFERROR(VLOOKUP($C69,Week5_Team!$B:$K,10,FALSE()),0),1)</f>
        <v>0</v>
      </c>
      <c r="J69" s="8">
        <v>0.0</v>
      </c>
      <c r="K69" s="9">
        <f t="shared" si="2"/>
        <v>0</v>
      </c>
    </row>
    <row r="70" ht="15.75" customHeight="1">
      <c r="A70" s="6">
        <f t="shared" si="1"/>
        <v>46</v>
      </c>
      <c r="B70" s="7" t="s">
        <v>219</v>
      </c>
      <c r="C70" s="7" t="s">
        <v>220</v>
      </c>
      <c r="D70" s="7" t="s">
        <v>95</v>
      </c>
      <c r="E70" s="5">
        <f>ROUND(IFERROR(AVERAGEIF(Week1_Individual!$B:$B,$C70,Week1_Individual!$H:$H),0)+IFERROR(VLOOKUP($C70,Week1_Team!$B:$K,10,FALSE()),0),1)</f>
        <v>0</v>
      </c>
      <c r="F70" s="5">
        <f>ROUND(IFERROR(AVERAGEIF(Week2_Individual!$B:$B,$C70,Week2_Individual!$H:$H),0)+IFERROR(VLOOKUP($C70,Week2_Team!$B:$K,10,FALSE()),0),1)</f>
        <v>0</v>
      </c>
      <c r="G70" s="5">
        <f>ROUND(IFERROR(AVERAGEIF(Week3_Individual!$B:$B,$C70,Week3_Individual!$H:$H),0)+IFERROR(VLOOKUP($C70,Week3_Team!$B:$K,10,FALSE()),0),1)</f>
        <v>0</v>
      </c>
      <c r="H70" s="5">
        <f>ROUND(IFERROR(AVERAGEIF(Week4_Individual!$B:$B,$C70,Week4_Individual!$H:$H),0)+IFERROR(VLOOKUP($C70,Week4_Team!$B:$K,10,FALSE()),0),1)</f>
        <v>0</v>
      </c>
      <c r="I70" s="5">
        <f>ROUND(IFERROR(AVERAGEIF(Week5_Individual!$B:$B,$C70,Week5_Individual!$H:$H),0)+IFERROR(VLOOKUP($C70,Week5_Team!$B:$K,10,FALSE()),0),1)</f>
        <v>0</v>
      </c>
      <c r="J70" s="8">
        <v>0.0</v>
      </c>
      <c r="K70" s="9">
        <f t="shared" si="2"/>
        <v>0</v>
      </c>
    </row>
    <row r="71" ht="15.75" customHeight="1">
      <c r="A71" s="6">
        <f t="shared" si="1"/>
        <v>44</v>
      </c>
      <c r="B71" s="7" t="s">
        <v>221</v>
      </c>
      <c r="C71" s="7" t="s">
        <v>222</v>
      </c>
      <c r="D71" s="7" t="s">
        <v>81</v>
      </c>
      <c r="E71" s="5">
        <f>ROUND(IFERROR(AVERAGEIF(Week1_Individual!$B:$B,$C71,Week1_Individual!$H:$H),0)+IFERROR(VLOOKUP($C71,Week1_Team!$B:$K,10,FALSE()),0),1)</f>
        <v>6.7</v>
      </c>
      <c r="F71" s="5">
        <f>ROUND(IFERROR(AVERAGEIF(Week2_Individual!$B:$B,$C71,Week2_Individual!$H:$H),0)+IFERROR(VLOOKUP($C71,Week2_Team!$B:$K,10,FALSE()),0),1)</f>
        <v>0</v>
      </c>
      <c r="G71" s="5">
        <f>ROUND(IFERROR(AVERAGEIF(Week3_Individual!$B:$B,$C71,Week3_Individual!$H:$H),0)+IFERROR(VLOOKUP($C71,Week3_Team!$B:$K,10,FALSE()),0),1)</f>
        <v>0</v>
      </c>
      <c r="H71" s="5">
        <f>ROUND(IFERROR(AVERAGEIF(Week4_Individual!$B:$B,$C71,Week4_Individual!$H:$H),0)+IFERROR(VLOOKUP($C71,Week4_Team!$B:$K,10,FALSE()),0),1)</f>
        <v>0</v>
      </c>
      <c r="I71" s="5">
        <f>ROUND(IFERROR(AVERAGEIF(Week5_Individual!$B:$B,$C71,Week5_Individual!$H:$H),0)+IFERROR(VLOOKUP($C71,Week5_Team!$B:$K,10,FALSE()),0),1)</f>
        <v>0</v>
      </c>
      <c r="J71" s="8">
        <v>0.0</v>
      </c>
      <c r="K71" s="9">
        <f t="shared" si="2"/>
        <v>6.7</v>
      </c>
    </row>
    <row r="72" ht="15.75" customHeight="1">
      <c r="A72" s="6">
        <f t="shared" si="1"/>
        <v>27</v>
      </c>
      <c r="B72" s="7" t="s">
        <v>223</v>
      </c>
      <c r="C72" s="7" t="s">
        <v>224</v>
      </c>
      <c r="D72" s="7" t="s">
        <v>81</v>
      </c>
      <c r="E72" s="5">
        <f>ROUND(IFERROR(AVERAGEIF(Week1_Individual!$B:$B,$C72,Week1_Individual!$H:$H),0)+IFERROR(VLOOKUP($C72,Week1_Team!$B:$K,10,FALSE()),0),1)</f>
        <v>28.8</v>
      </c>
      <c r="F72" s="5">
        <f>ROUND(IFERROR(AVERAGEIF(Week2_Individual!$B:$B,$C72,Week2_Individual!$H:$H),0)+IFERROR(VLOOKUP($C72,Week2_Team!$B:$K,10,FALSE()),0),1)</f>
        <v>5</v>
      </c>
      <c r="G72" s="5">
        <f>ROUND(IFERROR(AVERAGEIF(Week3_Individual!$B:$B,$C72,Week3_Individual!$H:$H),0)+IFERROR(VLOOKUP($C72,Week3_Team!$B:$K,10,FALSE()),0),1)</f>
        <v>0</v>
      </c>
      <c r="H72" s="5">
        <f>ROUND(IFERROR(AVERAGEIF(Week4_Individual!$B:$B,$C72,Week4_Individual!$H:$H),0)+IFERROR(VLOOKUP($C72,Week4_Team!$B:$K,10,FALSE()),0),1)</f>
        <v>0</v>
      </c>
      <c r="I72" s="5">
        <f>ROUND(IFERROR(AVERAGEIF(Week5_Individual!$B:$B,$C72,Week5_Individual!$H:$H),0)+IFERROR(VLOOKUP($C72,Week5_Team!$B:$K,10,FALSE()),0),1)</f>
        <v>0</v>
      </c>
      <c r="J72" s="8">
        <v>0.0</v>
      </c>
      <c r="K72" s="9">
        <f t="shared" si="2"/>
        <v>33.8</v>
      </c>
    </row>
    <row r="73" ht="15.75" customHeight="1">
      <c r="A73" s="6">
        <f t="shared" si="1"/>
        <v>46</v>
      </c>
      <c r="B73" s="7" t="s">
        <v>225</v>
      </c>
      <c r="C73" s="7" t="s">
        <v>226</v>
      </c>
      <c r="D73" s="7" t="s">
        <v>95</v>
      </c>
      <c r="E73" s="5">
        <f>ROUND(IFERROR(AVERAGEIF(Week1_Individual!$B:$B,$C73,Week1_Individual!$H:$H),0)+IFERROR(VLOOKUP($C73,Week1_Team!$B:$K,10,FALSE()),0),1)</f>
        <v>0</v>
      </c>
      <c r="F73" s="5">
        <f>ROUND(IFERROR(AVERAGEIF(Week2_Individual!$B:$B,$C73,Week2_Individual!$H:$H),0)+IFERROR(VLOOKUP($C73,Week2_Team!$B:$K,10,FALSE()),0),1)</f>
        <v>0</v>
      </c>
      <c r="G73" s="5">
        <f>ROUND(IFERROR(AVERAGEIF(Week3_Individual!$B:$B,$C73,Week3_Individual!$H:$H),0)+IFERROR(VLOOKUP($C73,Week3_Team!$B:$K,10,FALSE()),0),1)</f>
        <v>0</v>
      </c>
      <c r="H73" s="5">
        <f>ROUND(IFERROR(AVERAGEIF(Week4_Individual!$B:$B,$C73,Week4_Individual!$H:$H),0)+IFERROR(VLOOKUP($C73,Week4_Team!$B:$K,10,FALSE()),0),1)</f>
        <v>0</v>
      </c>
      <c r="I73" s="5">
        <f>ROUND(IFERROR(AVERAGEIF(Week5_Individual!$B:$B,$C73,Week5_Individual!$H:$H),0)+IFERROR(VLOOKUP($C73,Week5_Team!$B:$K,10,FALSE()),0),1)</f>
        <v>0</v>
      </c>
      <c r="J73" s="8">
        <v>0.0</v>
      </c>
      <c r="K73" s="9">
        <f t="shared" si="2"/>
        <v>0</v>
      </c>
    </row>
    <row r="74" ht="15.75" customHeight="1">
      <c r="A74" s="6">
        <f t="shared" si="1"/>
        <v>46</v>
      </c>
      <c r="B74" s="7" t="s">
        <v>227</v>
      </c>
      <c r="C74" s="7" t="s">
        <v>228</v>
      </c>
      <c r="D74" s="7" t="s">
        <v>81</v>
      </c>
      <c r="E74" s="5">
        <f>ROUND(IFERROR(AVERAGEIF(Week1_Individual!$B:$B,$C74,Week1_Individual!$H:$H),0)+IFERROR(VLOOKUP($C74,Week1_Team!$B:$K,10,FALSE()),0),1)</f>
        <v>0</v>
      </c>
      <c r="F74" s="5">
        <f>ROUND(IFERROR(AVERAGEIF(Week2_Individual!$B:$B,$C74,Week2_Individual!$H:$H),0)+IFERROR(VLOOKUP($C74,Week2_Team!$B:$K,10,FALSE()),0),1)</f>
        <v>0</v>
      </c>
      <c r="G74" s="5">
        <f>ROUND(IFERROR(AVERAGEIF(Week3_Individual!$B:$B,$C74,Week3_Individual!$H:$H),0)+IFERROR(VLOOKUP($C74,Week3_Team!$B:$K,10,FALSE()),0),1)</f>
        <v>0</v>
      </c>
      <c r="H74" s="5">
        <f>ROUND(IFERROR(AVERAGEIF(Week4_Individual!$B:$B,$C74,Week4_Individual!$H:$H),0)+IFERROR(VLOOKUP($C74,Week4_Team!$B:$K,10,FALSE()),0),1)</f>
        <v>0</v>
      </c>
      <c r="I74" s="5">
        <f>ROUND(IFERROR(AVERAGEIF(Week5_Individual!$B:$B,$C74,Week5_Individual!$H:$H),0)+IFERROR(VLOOKUP($C74,Week5_Team!$B:$K,10,FALSE()),0),1)</f>
        <v>0</v>
      </c>
      <c r="J74" s="8">
        <v>0.0</v>
      </c>
      <c r="K74" s="9">
        <f t="shared" si="2"/>
        <v>0</v>
      </c>
    </row>
    <row r="75" ht="15.75" customHeight="1">
      <c r="A75" s="6">
        <f t="shared" si="1"/>
        <v>46</v>
      </c>
      <c r="B75" s="7" t="s">
        <v>229</v>
      </c>
      <c r="C75" s="7" t="s">
        <v>230</v>
      </c>
      <c r="D75" s="7" t="s">
        <v>95</v>
      </c>
      <c r="E75" s="5">
        <f>ROUND(IFERROR(AVERAGEIF(Week1_Individual!$B:$B,$C75,Week1_Individual!$H:$H),0)+IFERROR(VLOOKUP($C75,Week1_Team!$B:$K,10,FALSE()),0),1)</f>
        <v>0</v>
      </c>
      <c r="F75" s="5">
        <f>ROUND(IFERROR(AVERAGEIF(Week2_Individual!$B:$B,$C75,Week2_Individual!$H:$H),0)+IFERROR(VLOOKUP($C75,Week2_Team!$B:$K,10,FALSE()),0),1)</f>
        <v>0</v>
      </c>
      <c r="G75" s="5">
        <f>ROUND(IFERROR(AVERAGEIF(Week3_Individual!$B:$B,$C75,Week3_Individual!$H:$H),0)+IFERROR(VLOOKUP($C75,Week3_Team!$B:$K,10,FALSE()),0),1)</f>
        <v>0</v>
      </c>
      <c r="H75" s="5">
        <f>ROUND(IFERROR(AVERAGEIF(Week4_Individual!$B:$B,$C75,Week4_Individual!$H:$H),0)+IFERROR(VLOOKUP($C75,Week4_Team!$B:$K,10,FALSE()),0),1)</f>
        <v>0</v>
      </c>
      <c r="I75" s="5">
        <f>ROUND(IFERROR(AVERAGEIF(Week5_Individual!$B:$B,$C75,Week5_Individual!$H:$H),0)+IFERROR(VLOOKUP($C75,Week5_Team!$B:$K,10,FALSE()),0),1)</f>
        <v>0</v>
      </c>
      <c r="J75" s="8">
        <v>0.0</v>
      </c>
      <c r="K75" s="9">
        <f t="shared" si="2"/>
        <v>0</v>
      </c>
    </row>
    <row r="76" ht="15.75" customHeight="1">
      <c r="A76" s="6">
        <f t="shared" si="1"/>
        <v>35</v>
      </c>
      <c r="B76" s="7" t="s">
        <v>231</v>
      </c>
      <c r="C76" s="16" t="s">
        <v>232</v>
      </c>
      <c r="D76" s="7" t="s">
        <v>86</v>
      </c>
      <c r="E76" s="5">
        <f>ROUND(IFERROR(AVERAGEIF(Week1_Individual!$B:$B,$C76,Week1_Individual!$H:$H),0)+IFERROR(VLOOKUP($C76,Week1_Team!$B:$K,10,FALSE()),0),1)</f>
        <v>10</v>
      </c>
      <c r="F76" s="5">
        <f>ROUND(IFERROR(AVERAGEIF(Week2_Individual!$B:$B,$C76,Week2_Individual!$H:$H),0)+IFERROR(VLOOKUP($C76,Week2_Team!$B:$K,10,FALSE()),0),1)</f>
        <v>0</v>
      </c>
      <c r="G76" s="5">
        <f>ROUND(IFERROR(AVERAGEIF(Week3_Individual!$B:$B,$C76,Week3_Individual!$H:$H),0)+IFERROR(VLOOKUP($C76,Week3_Team!$B:$K,10,FALSE()),0),1)</f>
        <v>0</v>
      </c>
      <c r="H76" s="5">
        <f>ROUND(IFERROR(AVERAGEIF(Week4_Individual!$B:$B,$C76,Week4_Individual!$H:$H),0)+IFERROR(VLOOKUP($C76,Week4_Team!$B:$K,10,FALSE()),0),1)</f>
        <v>0</v>
      </c>
      <c r="I76" s="5">
        <f>ROUND(IFERROR(AVERAGEIF(Week5_Individual!$B:$B,$C76,Week5_Individual!$H:$H),0)+IFERROR(VLOOKUP($C76,Week5_Team!$B:$K,10,FALSE()),0),1)</f>
        <v>0</v>
      </c>
      <c r="J76" s="8">
        <v>0.0</v>
      </c>
      <c r="K76" s="9">
        <f t="shared" si="2"/>
        <v>10</v>
      </c>
    </row>
    <row r="77" ht="15.75" customHeight="1">
      <c r="A77" s="6">
        <f t="shared" si="1"/>
        <v>22</v>
      </c>
      <c r="B77" s="7" t="s">
        <v>233</v>
      </c>
      <c r="C77" s="7" t="s">
        <v>234</v>
      </c>
      <c r="D77" s="7" t="s">
        <v>81</v>
      </c>
      <c r="E77" s="5">
        <f>ROUND(IFERROR(AVERAGEIF(Week1_Individual!$B:$B,$C77,Week1_Individual!$H:$H),0)+IFERROR(VLOOKUP($C77,Week1_Team!$B:$K,10,FALSE()),0),1)</f>
        <v>32.5</v>
      </c>
      <c r="F77" s="5">
        <f>ROUND(IFERROR(AVERAGEIF(Week2_Individual!$B:$B,$C77,Week2_Individual!$H:$H),0)+IFERROR(VLOOKUP($C77,Week2_Team!$B:$K,10,FALSE()),0),1)</f>
        <v>45</v>
      </c>
      <c r="G77" s="5">
        <f>ROUND(IFERROR(AVERAGEIF(Week3_Individual!$B:$B,$C77,Week3_Individual!$H:$H),0)+IFERROR(VLOOKUP($C77,Week3_Team!$B:$K,10,FALSE()),0),1)</f>
        <v>0</v>
      </c>
      <c r="H77" s="5">
        <f>ROUND(IFERROR(AVERAGEIF(Week4_Individual!$B:$B,$C77,Week4_Individual!$H:$H),0)+IFERROR(VLOOKUP($C77,Week4_Team!$B:$K,10,FALSE()),0),1)</f>
        <v>0</v>
      </c>
      <c r="I77" s="5">
        <f>ROUND(IFERROR(AVERAGEIF(Week5_Individual!$B:$B,$C77,Week5_Individual!$H:$H),0)+IFERROR(VLOOKUP($C77,Week5_Team!$B:$K,10,FALSE()),0),1)</f>
        <v>0</v>
      </c>
      <c r="J77" s="8">
        <v>0.0</v>
      </c>
      <c r="K77" s="9">
        <f t="shared" si="2"/>
        <v>77.5</v>
      </c>
    </row>
    <row r="78" ht="15.75" customHeight="1">
      <c r="A78" s="6">
        <f t="shared" si="1"/>
        <v>9</v>
      </c>
      <c r="B78" s="7" t="s">
        <v>235</v>
      </c>
      <c r="C78" s="7" t="s">
        <v>236</v>
      </c>
      <c r="D78" s="7" t="s">
        <v>166</v>
      </c>
      <c r="E78" s="5">
        <f>ROUND(IFERROR(AVERAGEIF(Week1_Individual!$B:$B,$C78,Week1_Individual!$H:$H),0)+IFERROR(VLOOKUP($C78,Week1_Team!$B:$K,10,FALSE()),0),1)</f>
        <v>95</v>
      </c>
      <c r="F78" s="5">
        <f>ROUND(IFERROR(AVERAGEIF(Week2_Individual!$B:$B,$C78,Week2_Individual!$H:$H),0)+IFERROR(VLOOKUP($C78,Week2_Team!$B:$K,10,FALSE()),0),1)</f>
        <v>120</v>
      </c>
      <c r="G78" s="5">
        <f>ROUND(IFERROR(AVERAGEIF(Week3_Individual!$B:$B,$C78,Week3_Individual!$H:$H),0)+IFERROR(VLOOKUP($C78,Week3_Team!$B:$K,10,FALSE()),0),1)</f>
        <v>0</v>
      </c>
      <c r="H78" s="5">
        <f>ROUND(IFERROR(AVERAGEIF(Week4_Individual!$B:$B,$C78,Week4_Individual!$H:$H),0)+IFERROR(VLOOKUP($C78,Week4_Team!$B:$K,10,FALSE()),0),1)</f>
        <v>0</v>
      </c>
      <c r="I78" s="5">
        <f>ROUND(IFERROR(AVERAGEIF(Week5_Individual!$B:$B,$C78,Week5_Individual!$H:$H),0)+IFERROR(VLOOKUP($C78,Week5_Team!$B:$K,10,FALSE()),0),1)</f>
        <v>0</v>
      </c>
      <c r="J78" s="8">
        <v>0.0</v>
      </c>
      <c r="K78" s="9">
        <f t="shared" si="2"/>
        <v>215</v>
      </c>
    </row>
    <row r="79" ht="15.75" customHeight="1">
      <c r="A79" s="6">
        <f t="shared" si="1"/>
        <v>5</v>
      </c>
      <c r="B79" s="7" t="s">
        <v>237</v>
      </c>
      <c r="C79" s="7" t="s">
        <v>238</v>
      </c>
      <c r="D79" s="7" t="s">
        <v>81</v>
      </c>
      <c r="E79" s="5">
        <f>ROUND(IFERROR(AVERAGEIF(Week1_Individual!$B:$B,$C79,Week1_Individual!$H:$H),0)+IFERROR(VLOOKUP($C79,Week1_Team!$B:$K,10,FALSE()),0),1)</f>
        <v>55</v>
      </c>
      <c r="F79" s="5">
        <f>ROUND(IFERROR(AVERAGEIF(Week2_Individual!$B:$B,$C79,Week2_Individual!$H:$H),0)+IFERROR(VLOOKUP($C79,Week2_Team!$B:$K,10,FALSE()),0),1)</f>
        <v>185</v>
      </c>
      <c r="G79" s="5">
        <f>ROUND(IFERROR(AVERAGEIF(Week3_Individual!$B:$B,$C79,Week3_Individual!$H:$H),0)+IFERROR(VLOOKUP($C79,Week3_Team!$B:$K,10,FALSE()),0),1)</f>
        <v>0</v>
      </c>
      <c r="H79" s="5">
        <f>ROUND(IFERROR(AVERAGEIF(Week4_Individual!$B:$B,$C79,Week4_Individual!$H:$H),0)+IFERROR(VLOOKUP($C79,Week4_Team!$B:$K,10,FALSE()),0),1)</f>
        <v>0</v>
      </c>
      <c r="I79" s="5">
        <f>ROUND(IFERROR(AVERAGEIF(Week5_Individual!$B:$B,$C79,Week5_Individual!$H:$H),0)+IFERROR(VLOOKUP($C79,Week5_Team!$B:$K,10,FALSE()),0),1)</f>
        <v>0</v>
      </c>
      <c r="J79" s="8">
        <v>0.0</v>
      </c>
      <c r="K79" s="9">
        <f t="shared" si="2"/>
        <v>240</v>
      </c>
    </row>
    <row r="80" ht="15.75" customHeight="1">
      <c r="A80" s="6">
        <f t="shared" si="1"/>
        <v>46</v>
      </c>
      <c r="B80" s="7" t="s">
        <v>239</v>
      </c>
      <c r="C80" s="7" t="s">
        <v>240</v>
      </c>
      <c r="D80" s="7" t="s">
        <v>81</v>
      </c>
      <c r="E80" s="5">
        <f>ROUND(IFERROR(AVERAGEIF(Week1_Individual!$B:$B,$C80,Week1_Individual!$H:$H),0)+IFERROR(VLOOKUP($C80,Week1_Team!$B:$K,10,FALSE()),0),1)</f>
        <v>0</v>
      </c>
      <c r="F80" s="5">
        <f>ROUND(IFERROR(AVERAGEIF(Week2_Individual!$B:$B,$C80,Week2_Individual!$H:$H),0)+IFERROR(VLOOKUP($C80,Week2_Team!$B:$K,10,FALSE()),0),1)</f>
        <v>0</v>
      </c>
      <c r="G80" s="5">
        <f>ROUND(IFERROR(AVERAGEIF(Week3_Individual!$B:$B,$C80,Week3_Individual!$H:$H),0)+IFERROR(VLOOKUP($C80,Week3_Team!$B:$K,10,FALSE()),0),1)</f>
        <v>0</v>
      </c>
      <c r="H80" s="5">
        <f>ROUND(IFERROR(AVERAGEIF(Week4_Individual!$B:$B,$C80,Week4_Individual!$H:$H),0)+IFERROR(VLOOKUP($C80,Week4_Team!$B:$K,10,FALSE()),0),1)</f>
        <v>0</v>
      </c>
      <c r="I80" s="5">
        <f>ROUND(IFERROR(AVERAGEIF(Week5_Individual!$B:$B,$C80,Week5_Individual!$H:$H),0)+IFERROR(VLOOKUP($C80,Week5_Team!$B:$K,10,FALSE()),0),1)</f>
        <v>0</v>
      </c>
      <c r="J80" s="8">
        <v>0.0</v>
      </c>
      <c r="K80" s="9">
        <f t="shared" si="2"/>
        <v>0</v>
      </c>
    </row>
    <row r="81" ht="15.75" customHeight="1">
      <c r="A81" s="6">
        <f t="shared" si="1"/>
        <v>18</v>
      </c>
      <c r="B81" s="7" t="s">
        <v>241</v>
      </c>
      <c r="C81" s="7" t="s">
        <v>242</v>
      </c>
      <c r="D81" s="7" t="s">
        <v>95</v>
      </c>
      <c r="E81" s="5">
        <f>ROUND(IFERROR(AVERAGEIF(Week1_Individual!$B:$B,$C81,Week1_Individual!$H:$H),0)+IFERROR(VLOOKUP($C81,Week1_Team!$B:$K,10,FALSE()),0),1)</f>
        <v>55</v>
      </c>
      <c r="F81" s="5">
        <f>ROUND(IFERROR(AVERAGEIF(Week2_Individual!$B:$B,$C81,Week2_Individual!$H:$H),0)+IFERROR(VLOOKUP($C81,Week2_Team!$B:$K,10,FALSE()),0),1)</f>
        <v>90</v>
      </c>
      <c r="G81" s="5">
        <f>ROUND(IFERROR(AVERAGEIF(Week3_Individual!$B:$B,$C81,Week3_Individual!$H:$H),0)+IFERROR(VLOOKUP($C81,Week3_Team!$B:$K,10,FALSE()),0),1)</f>
        <v>0</v>
      </c>
      <c r="H81" s="5">
        <f>ROUND(IFERROR(AVERAGEIF(Week4_Individual!$B:$B,$C81,Week4_Individual!$H:$H),0)+IFERROR(VLOOKUP($C81,Week4_Team!$B:$K,10,FALSE()),0),1)</f>
        <v>0</v>
      </c>
      <c r="I81" s="5">
        <f>ROUND(IFERROR(AVERAGEIF(Week5_Individual!$B:$B,$C81,Week5_Individual!$H:$H),0)+IFERROR(VLOOKUP($C81,Week5_Team!$B:$K,10,FALSE()),0),1)</f>
        <v>0</v>
      </c>
      <c r="J81" s="8">
        <v>0.0</v>
      </c>
      <c r="K81" s="9">
        <f t="shared" si="2"/>
        <v>145</v>
      </c>
    </row>
    <row r="82" ht="15.75" customHeight="1">
      <c r="A82" s="6">
        <f t="shared" si="1"/>
        <v>46</v>
      </c>
      <c r="B82" s="7" t="s">
        <v>243</v>
      </c>
      <c r="C82" s="16" t="s">
        <v>244</v>
      </c>
      <c r="D82" s="7" t="s">
        <v>86</v>
      </c>
      <c r="E82" s="5">
        <f>ROUND(IFERROR(AVERAGEIF(Week1_Individual!$B:$B,$C82,Week1_Individual!$H:$H),0)+IFERROR(VLOOKUP($C82,Week1_Team!$B:$K,10,FALSE()),0),1)</f>
        <v>0</v>
      </c>
      <c r="F82" s="5">
        <f>ROUND(IFERROR(AVERAGEIF(Week2_Individual!$B:$B,$C82,Week2_Individual!$H:$H),0)+IFERROR(VLOOKUP($C82,Week2_Team!$B:$K,10,FALSE()),0),1)</f>
        <v>0</v>
      </c>
      <c r="G82" s="5">
        <f>ROUND(IFERROR(AVERAGEIF(Week3_Individual!$B:$B,$C82,Week3_Individual!$H:$H),0)+IFERROR(VLOOKUP($C82,Week3_Team!$B:$K,10,FALSE()),0),1)</f>
        <v>0</v>
      </c>
      <c r="H82" s="5">
        <f>ROUND(IFERROR(AVERAGEIF(Week4_Individual!$B:$B,$C82,Week4_Individual!$H:$H),0)+IFERROR(VLOOKUP($C82,Week4_Team!$B:$K,10,FALSE()),0),1)</f>
        <v>0</v>
      </c>
      <c r="I82" s="5">
        <f>ROUND(IFERROR(AVERAGEIF(Week5_Individual!$B:$B,$C82,Week5_Individual!$H:$H),0)+IFERROR(VLOOKUP($C82,Week5_Team!$B:$K,10,FALSE()),0),1)</f>
        <v>0</v>
      </c>
      <c r="J82" s="8">
        <v>0.0</v>
      </c>
      <c r="K82" s="9">
        <f t="shared" si="2"/>
        <v>0</v>
      </c>
    </row>
    <row r="83" ht="15.75" customHeight="1">
      <c r="A83" s="6">
        <f t="shared" si="1"/>
        <v>19</v>
      </c>
      <c r="B83" s="7" t="s">
        <v>245</v>
      </c>
      <c r="C83" s="7" t="s">
        <v>246</v>
      </c>
      <c r="D83" s="7" t="s">
        <v>81</v>
      </c>
      <c r="E83" s="5">
        <f>ROUND(IFERROR(AVERAGEIF(Week1_Individual!$B:$B,$C83,Week1_Individual!$H:$H),0)+IFERROR(VLOOKUP($C83,Week1_Team!$B:$K,10,FALSE()),0),1)</f>
        <v>25</v>
      </c>
      <c r="F83" s="5">
        <f>ROUND(IFERROR(AVERAGEIF(Week2_Individual!$B:$B,$C83,Week2_Individual!$H:$H),0)+IFERROR(VLOOKUP($C83,Week2_Team!$B:$K,10,FALSE()),0),1)</f>
        <v>110</v>
      </c>
      <c r="G83" s="5">
        <f>ROUND(IFERROR(AVERAGEIF(Week3_Individual!$B:$B,$C83,Week3_Individual!$H:$H),0)+IFERROR(VLOOKUP($C83,Week3_Team!$B:$K,10,FALSE()),0),1)</f>
        <v>0</v>
      </c>
      <c r="H83" s="5">
        <f>ROUND(IFERROR(AVERAGEIF(Week4_Individual!$B:$B,$C83,Week4_Individual!$H:$H),0)+IFERROR(VLOOKUP($C83,Week4_Team!$B:$K,10,FALSE()),0),1)</f>
        <v>0</v>
      </c>
      <c r="I83" s="5">
        <f>ROUND(IFERROR(AVERAGEIF(Week5_Individual!$B:$B,$C83,Week5_Individual!$H:$H),0)+IFERROR(VLOOKUP($C83,Week5_Team!$B:$K,10,FALSE()),0),1)</f>
        <v>0</v>
      </c>
      <c r="J83" s="8">
        <v>0.0</v>
      </c>
      <c r="K83" s="9">
        <f t="shared" si="2"/>
        <v>135</v>
      </c>
    </row>
    <row r="84" ht="15.75" customHeight="1">
      <c r="A84" s="6">
        <f t="shared" si="1"/>
        <v>46</v>
      </c>
      <c r="B84" s="7" t="s">
        <v>247</v>
      </c>
      <c r="C84" s="16" t="s">
        <v>248</v>
      </c>
      <c r="D84" s="7" t="s">
        <v>86</v>
      </c>
      <c r="E84" s="5">
        <f>ROUND(IFERROR(AVERAGEIF(Week1_Individual!$B:$B,$C84,Week1_Individual!$H:$H),0)+IFERROR(VLOOKUP($C84,Week1_Team!$B:$K,10,FALSE()),0),1)</f>
        <v>0</v>
      </c>
      <c r="F84" s="5">
        <f>ROUND(IFERROR(AVERAGEIF(Week2_Individual!$B:$B,$C84,Week2_Individual!$H:$H),0)+IFERROR(VLOOKUP($C84,Week2_Team!$B:$K,10,FALSE()),0),1)</f>
        <v>0</v>
      </c>
      <c r="G84" s="5">
        <f>ROUND(IFERROR(AVERAGEIF(Week3_Individual!$B:$B,$C84,Week3_Individual!$H:$H),0)+IFERROR(VLOOKUP($C84,Week3_Team!$B:$K,10,FALSE()),0),1)</f>
        <v>0</v>
      </c>
      <c r="H84" s="5">
        <f>ROUND(IFERROR(AVERAGEIF(Week4_Individual!$B:$B,$C84,Week4_Individual!$H:$H),0)+IFERROR(VLOOKUP($C84,Week4_Team!$B:$K,10,FALSE()),0),1)</f>
        <v>0</v>
      </c>
      <c r="I84" s="5">
        <f>ROUND(IFERROR(AVERAGEIF(Week5_Individual!$B:$B,$C84,Week5_Individual!$H:$H),0)+IFERROR(VLOOKUP($C84,Week5_Team!$B:$K,10,FALSE()),0),1)</f>
        <v>0</v>
      </c>
      <c r="J84" s="8">
        <v>0.0</v>
      </c>
      <c r="K84" s="9">
        <f t="shared" si="2"/>
        <v>0</v>
      </c>
    </row>
    <row r="85" ht="15.75" customHeight="1">
      <c r="A85" s="6">
        <f t="shared" si="1"/>
        <v>10</v>
      </c>
      <c r="B85" s="7" t="s">
        <v>249</v>
      </c>
      <c r="C85" s="7" t="s">
        <v>250</v>
      </c>
      <c r="D85" s="7" t="s">
        <v>81</v>
      </c>
      <c r="E85" s="5">
        <f>ROUND(IFERROR(AVERAGEIF(Week1_Individual!$B:$B,$C85,Week1_Individual!$H:$H),0)+IFERROR(VLOOKUP($C85,Week1_Team!$B:$K,10,FALSE()),0),1)</f>
        <v>80</v>
      </c>
      <c r="F85" s="5">
        <f>ROUND(IFERROR(AVERAGEIF(Week2_Individual!$B:$B,$C85,Week2_Individual!$H:$H),0)+IFERROR(VLOOKUP($C85,Week2_Team!$B:$K,10,FALSE()),0),1)</f>
        <v>110</v>
      </c>
      <c r="G85" s="5">
        <f>ROUND(IFERROR(AVERAGEIF(Week3_Individual!$B:$B,$C85,Week3_Individual!$H:$H),0)+IFERROR(VLOOKUP($C85,Week3_Team!$B:$K,10,FALSE()),0),1)</f>
        <v>0</v>
      </c>
      <c r="H85" s="5">
        <f>ROUND(IFERROR(AVERAGEIF(Week4_Individual!$B:$B,$C85,Week4_Individual!$H:$H),0)+IFERROR(VLOOKUP($C85,Week4_Team!$B:$K,10,FALSE()),0),1)</f>
        <v>0</v>
      </c>
      <c r="I85" s="5">
        <f>ROUND(IFERROR(AVERAGEIF(Week5_Individual!$B:$B,$C85,Week5_Individual!$H:$H),0)+IFERROR(VLOOKUP($C85,Week5_Team!$B:$K,10,FALSE()),0),1)</f>
        <v>0</v>
      </c>
      <c r="J85" s="8">
        <v>0.0</v>
      </c>
      <c r="K85" s="9">
        <f t="shared" si="2"/>
        <v>190</v>
      </c>
    </row>
    <row r="86" ht="15.75" customHeight="1">
      <c r="A86" s="6">
        <f t="shared" si="1"/>
        <v>35</v>
      </c>
      <c r="B86" s="7" t="s">
        <v>251</v>
      </c>
      <c r="C86" s="7" t="s">
        <v>252</v>
      </c>
      <c r="D86" s="7" t="s">
        <v>81</v>
      </c>
      <c r="E86" s="5">
        <f>ROUND(IFERROR(AVERAGEIF(Week1_Individual!$B:$B,$C86,Week1_Individual!$H:$H),0)+IFERROR(VLOOKUP($C86,Week1_Team!$B:$K,10,FALSE()),0),1)</f>
        <v>10</v>
      </c>
      <c r="F86" s="5">
        <f>ROUND(IFERROR(AVERAGEIF(Week2_Individual!$B:$B,$C86,Week2_Individual!$H:$H),0)+IFERROR(VLOOKUP($C86,Week2_Team!$B:$K,10,FALSE()),0),1)</f>
        <v>0</v>
      </c>
      <c r="G86" s="5">
        <f>ROUND(IFERROR(AVERAGEIF(Week3_Individual!$B:$B,$C86,Week3_Individual!$H:$H),0)+IFERROR(VLOOKUP($C86,Week3_Team!$B:$K,10,FALSE()),0),1)</f>
        <v>0</v>
      </c>
      <c r="H86" s="5">
        <f>ROUND(IFERROR(AVERAGEIF(Week4_Individual!$B:$B,$C86,Week4_Individual!$H:$H),0)+IFERROR(VLOOKUP($C86,Week4_Team!$B:$K,10,FALSE()),0),1)</f>
        <v>0</v>
      </c>
      <c r="I86" s="5">
        <f>ROUND(IFERROR(AVERAGEIF(Week5_Individual!$B:$B,$C86,Week5_Individual!$H:$H),0)+IFERROR(VLOOKUP($C86,Week5_Team!$B:$K,10,FALSE()),0),1)</f>
        <v>0</v>
      </c>
      <c r="J86" s="8">
        <v>0.0</v>
      </c>
      <c r="K86" s="9">
        <f t="shared" si="2"/>
        <v>10</v>
      </c>
    </row>
    <row r="87" ht="15.75" customHeight="1">
      <c r="A87" s="6">
        <f t="shared" si="1"/>
        <v>20</v>
      </c>
      <c r="B87" s="7" t="s">
        <v>253</v>
      </c>
      <c r="C87" s="7" t="s">
        <v>254</v>
      </c>
      <c r="D87" s="7" t="s">
        <v>255</v>
      </c>
      <c r="E87" s="5">
        <f>ROUND(IFERROR(AVERAGEIF(Week1_Individual!$B:$B,$C87,Week1_Individual!$H:$H),0)+IFERROR(VLOOKUP($C87,Week1_Team!$B:$K,10,FALSE()),0),1)</f>
        <v>58.3</v>
      </c>
      <c r="F87" s="5">
        <f>ROUND(IFERROR(AVERAGEIF(Week2_Individual!$B:$B,$C87,Week2_Individual!$H:$H),0)+IFERROR(VLOOKUP($C87,Week2_Team!$B:$K,10,FALSE()),0),1)</f>
        <v>40</v>
      </c>
      <c r="G87" s="5">
        <f>ROUND(IFERROR(AVERAGEIF(Week3_Individual!$B:$B,$C87,Week3_Individual!$H:$H),0)+IFERROR(VLOOKUP($C87,Week3_Team!$B:$K,10,FALSE()),0),1)</f>
        <v>0</v>
      </c>
      <c r="H87" s="5">
        <f>ROUND(IFERROR(AVERAGEIF(Week4_Individual!$B:$B,$C87,Week4_Individual!$H:$H),0)+IFERROR(VLOOKUP($C87,Week4_Team!$B:$K,10,FALSE()),0),1)</f>
        <v>0</v>
      </c>
      <c r="I87" s="5">
        <f>ROUND(IFERROR(AVERAGEIF(Week5_Individual!$B:$B,$C87,Week5_Individual!$H:$H),0)+IFERROR(VLOOKUP($C87,Week5_Team!$B:$K,10,FALSE()),0),1)</f>
        <v>0</v>
      </c>
      <c r="J87" s="8">
        <v>0.0</v>
      </c>
      <c r="K87" s="9">
        <f t="shared" si="2"/>
        <v>98.3</v>
      </c>
    </row>
    <row r="88" ht="15.75" customHeight="1">
      <c r="A88" s="6">
        <f t="shared" si="1"/>
        <v>23</v>
      </c>
      <c r="B88" s="7" t="s">
        <v>256</v>
      </c>
      <c r="C88" s="7" t="s">
        <v>257</v>
      </c>
      <c r="D88" s="7" t="s">
        <v>166</v>
      </c>
      <c r="E88" s="5">
        <f>ROUND(IFERROR(AVERAGEIF(Week1_Individual!$B:$B,$C88,Week1_Individual!$H:$H),0)+IFERROR(VLOOKUP($C88,Week1_Team!$B:$K,10,FALSE()),0),1)</f>
        <v>30</v>
      </c>
      <c r="F88" s="5">
        <f>ROUND(IFERROR(AVERAGEIF(Week2_Individual!$B:$B,$C88,Week2_Individual!$H:$H),0)+IFERROR(VLOOKUP($C88,Week2_Team!$B:$K,10,FALSE()),0),1)</f>
        <v>25</v>
      </c>
      <c r="G88" s="5">
        <f>ROUND(IFERROR(AVERAGEIF(Week3_Individual!$B:$B,$C88,Week3_Individual!$H:$H),0)+IFERROR(VLOOKUP($C88,Week3_Team!$B:$K,10,FALSE()),0),1)</f>
        <v>0</v>
      </c>
      <c r="H88" s="5">
        <f>ROUND(IFERROR(AVERAGEIF(Week4_Individual!$B:$B,$C88,Week4_Individual!$H:$H),0)+IFERROR(VLOOKUP($C88,Week4_Team!$B:$K,10,FALSE()),0),1)</f>
        <v>0</v>
      </c>
      <c r="I88" s="5">
        <f>ROUND(IFERROR(AVERAGEIF(Week5_Individual!$B:$B,$C88,Week5_Individual!$H:$H),0)+IFERROR(VLOOKUP($C88,Week5_Team!$B:$K,10,FALSE()),0),1)</f>
        <v>0</v>
      </c>
      <c r="J88" s="8">
        <v>0.0</v>
      </c>
      <c r="K88" s="9">
        <f t="shared" si="2"/>
        <v>55</v>
      </c>
    </row>
    <row r="89" ht="15.75" customHeight="1">
      <c r="A89" s="6">
        <f t="shared" si="1"/>
        <v>33</v>
      </c>
      <c r="B89" s="7" t="s">
        <v>258</v>
      </c>
      <c r="C89" s="7" t="s">
        <v>259</v>
      </c>
      <c r="D89" s="7" t="s">
        <v>95</v>
      </c>
      <c r="E89" s="5">
        <f>ROUND(IFERROR(AVERAGEIF(Week1_Individual!$B:$B,$C89,Week1_Individual!$H:$H),0)+IFERROR(VLOOKUP($C89,Week1_Team!$B:$K,10,FALSE()),0),1)</f>
        <v>15</v>
      </c>
      <c r="F89" s="5">
        <f>ROUND(IFERROR(AVERAGEIF(Week2_Individual!$B:$B,$C89,Week2_Individual!$H:$H),0)+IFERROR(VLOOKUP($C89,Week2_Team!$B:$K,10,FALSE()),0),1)</f>
        <v>0</v>
      </c>
      <c r="G89" s="5">
        <f>ROUND(IFERROR(AVERAGEIF(Week3_Individual!$B:$B,$C89,Week3_Individual!$H:$H),0)+IFERROR(VLOOKUP($C89,Week3_Team!$B:$K,10,FALSE()),0),1)</f>
        <v>0</v>
      </c>
      <c r="H89" s="5">
        <f>ROUND(IFERROR(AVERAGEIF(Week4_Individual!$B:$B,$C89,Week4_Individual!$H:$H),0)+IFERROR(VLOOKUP($C89,Week4_Team!$B:$K,10,FALSE()),0),1)</f>
        <v>0</v>
      </c>
      <c r="I89" s="5">
        <f>ROUND(IFERROR(AVERAGEIF(Week5_Individual!$B:$B,$C89,Week5_Individual!$H:$H),0)+IFERROR(VLOOKUP($C89,Week5_Team!$B:$K,10,FALSE()),0),1)</f>
        <v>0</v>
      </c>
      <c r="J89" s="8">
        <v>0.0</v>
      </c>
      <c r="K89" s="9">
        <f t="shared" si="2"/>
        <v>15</v>
      </c>
    </row>
    <row r="90" ht="15.75" customHeight="1">
      <c r="A90" s="6">
        <f t="shared" si="1"/>
        <v>26</v>
      </c>
      <c r="B90" s="7" t="s">
        <v>260</v>
      </c>
      <c r="C90" s="7" t="s">
        <v>261</v>
      </c>
      <c r="D90" s="7" t="s">
        <v>166</v>
      </c>
      <c r="E90" s="5">
        <f>ROUND(IFERROR(AVERAGEIF(Week1_Individual!$B:$B,$C90,Week1_Individual!$H:$H),0)+IFERROR(VLOOKUP($C90,Week1_Team!$B:$K,10,FALSE()),0),1)</f>
        <v>17.5</v>
      </c>
      <c r="F90" s="5">
        <f>ROUND(IFERROR(AVERAGEIF(Week2_Individual!$B:$B,$C90,Week2_Individual!$H:$H),0)+IFERROR(VLOOKUP($C90,Week2_Team!$B:$K,10,FALSE()),0),1)</f>
        <v>17.5</v>
      </c>
      <c r="G90" s="5">
        <f>ROUND(IFERROR(AVERAGEIF(Week3_Individual!$B:$B,$C90,Week3_Individual!$H:$H),0)+IFERROR(VLOOKUP($C90,Week3_Team!$B:$K,10,FALSE()),0),1)</f>
        <v>0</v>
      </c>
      <c r="H90" s="5">
        <f>ROUND(IFERROR(AVERAGEIF(Week4_Individual!$B:$B,$C90,Week4_Individual!$H:$H),0)+IFERROR(VLOOKUP($C90,Week4_Team!$B:$K,10,FALSE()),0),1)</f>
        <v>0</v>
      </c>
      <c r="I90" s="5">
        <f>ROUND(IFERROR(AVERAGEIF(Week5_Individual!$B:$B,$C90,Week5_Individual!$H:$H),0)+IFERROR(VLOOKUP($C90,Week5_Team!$B:$K,10,FALSE()),0),1)</f>
        <v>0</v>
      </c>
      <c r="J90" s="8">
        <v>0.0</v>
      </c>
      <c r="K90" s="9">
        <f t="shared" si="2"/>
        <v>35</v>
      </c>
    </row>
    <row r="91" ht="15.75" customHeight="1">
      <c r="A91" s="6">
        <f t="shared" si="1"/>
        <v>46</v>
      </c>
      <c r="B91" s="7" t="s">
        <v>262</v>
      </c>
      <c r="C91" s="7" t="s">
        <v>263</v>
      </c>
      <c r="D91" s="7" t="s">
        <v>81</v>
      </c>
      <c r="E91" s="5">
        <f>ROUND(IFERROR(AVERAGEIF(Week1_Individual!$B:$B,$C91,Week1_Individual!$H:$H),0)+IFERROR(VLOOKUP($C91,Week1_Team!$B:$K,10,FALSE()),0),1)</f>
        <v>0</v>
      </c>
      <c r="F91" s="5">
        <f>ROUND(IFERROR(AVERAGEIF(Week2_Individual!$B:$B,$C91,Week2_Individual!$H:$H),0)+IFERROR(VLOOKUP($C91,Week2_Team!$B:$K,10,FALSE()),0),1)</f>
        <v>0</v>
      </c>
      <c r="G91" s="5">
        <f>ROUND(IFERROR(AVERAGEIF(Week3_Individual!$B:$B,$C91,Week3_Individual!$H:$H),0)+IFERROR(VLOOKUP($C91,Week3_Team!$B:$K,10,FALSE()),0),1)</f>
        <v>0</v>
      </c>
      <c r="H91" s="5">
        <f>ROUND(IFERROR(AVERAGEIF(Week4_Individual!$B:$B,$C91,Week4_Individual!$H:$H),0)+IFERROR(VLOOKUP($C91,Week4_Team!$B:$K,10,FALSE()),0),1)</f>
        <v>0</v>
      </c>
      <c r="I91" s="5">
        <f>ROUND(IFERROR(AVERAGEIF(Week5_Individual!$B:$B,$C91,Week5_Individual!$H:$H),0)+IFERROR(VLOOKUP($C91,Week5_Team!$B:$K,10,FALSE()),0),1)</f>
        <v>0</v>
      </c>
      <c r="J91" s="8">
        <v>0.0</v>
      </c>
      <c r="K91" s="9">
        <f t="shared" si="2"/>
        <v>0</v>
      </c>
    </row>
    <row r="92" ht="15.75" customHeight="1">
      <c r="A92" s="6">
        <f t="shared" si="1"/>
        <v>46</v>
      </c>
      <c r="B92" s="7" t="s">
        <v>264</v>
      </c>
      <c r="C92" s="7" t="s">
        <v>265</v>
      </c>
      <c r="D92" s="7" t="s">
        <v>81</v>
      </c>
      <c r="E92" s="5">
        <f>ROUND(IFERROR(AVERAGEIF(Week1_Individual!$B:$B,$C92,Week1_Individual!$H:$H),0)+IFERROR(VLOOKUP($C92,Week1_Team!$B:$K,10,FALSE()),0),1)</f>
        <v>0</v>
      </c>
      <c r="F92" s="5">
        <f>ROUND(IFERROR(AVERAGEIF(Week2_Individual!$B:$B,$C92,Week2_Individual!$H:$H),0)+IFERROR(VLOOKUP($C92,Week2_Team!$B:$K,10,FALSE()),0),1)</f>
        <v>0</v>
      </c>
      <c r="G92" s="5">
        <f>ROUND(IFERROR(AVERAGEIF(Week3_Individual!$B:$B,$C92,Week3_Individual!$H:$H),0)+IFERROR(VLOOKUP($C92,Week3_Team!$B:$K,10,FALSE()),0),1)</f>
        <v>0</v>
      </c>
      <c r="H92" s="5">
        <f>ROUND(IFERROR(AVERAGEIF(Week4_Individual!$B:$B,$C92,Week4_Individual!$H:$H),0)+IFERROR(VLOOKUP($C92,Week4_Team!$B:$K,10,FALSE()),0),1)</f>
        <v>0</v>
      </c>
      <c r="I92" s="5">
        <f>ROUND(IFERROR(AVERAGEIF(Week5_Individual!$B:$B,$C92,Week5_Individual!$H:$H),0)+IFERROR(VLOOKUP($C92,Week5_Team!$B:$K,10,FALSE()),0),1)</f>
        <v>0</v>
      </c>
      <c r="J92" s="8">
        <v>0.0</v>
      </c>
      <c r="K92" s="9">
        <f t="shared" si="2"/>
        <v>0</v>
      </c>
    </row>
    <row r="93" ht="15.75" customHeight="1">
      <c r="A93" s="6">
        <f t="shared" si="1"/>
        <v>10</v>
      </c>
      <c r="B93" s="7" t="s">
        <v>266</v>
      </c>
      <c r="C93" s="7" t="s">
        <v>267</v>
      </c>
      <c r="D93" s="7" t="s">
        <v>95</v>
      </c>
      <c r="E93" s="5">
        <f>ROUND(IFERROR(AVERAGEIF(Week1_Individual!$B:$B,$C93,Week1_Individual!$H:$H),0)+IFERROR(VLOOKUP($C93,Week1_Team!$B:$K,10,FALSE()),0),1)</f>
        <v>80</v>
      </c>
      <c r="F93" s="5">
        <f>ROUND(IFERROR(AVERAGEIF(Week2_Individual!$B:$B,$C93,Week2_Individual!$H:$H),0)+IFERROR(VLOOKUP($C93,Week2_Team!$B:$K,10,FALSE()),0),1)</f>
        <v>110</v>
      </c>
      <c r="G93" s="5">
        <f>ROUND(IFERROR(AVERAGEIF(Week3_Individual!$B:$B,$C93,Week3_Individual!$H:$H),0)+IFERROR(VLOOKUP($C93,Week3_Team!$B:$K,10,FALSE()),0),1)</f>
        <v>0</v>
      </c>
      <c r="H93" s="5">
        <f>ROUND(IFERROR(AVERAGEIF(Week4_Individual!$B:$B,$C93,Week4_Individual!$H:$H),0)+IFERROR(VLOOKUP($C93,Week4_Team!$B:$K,10,FALSE()),0),1)</f>
        <v>0</v>
      </c>
      <c r="I93" s="5">
        <f>ROUND(IFERROR(AVERAGEIF(Week5_Individual!$B:$B,$C93,Week5_Individual!$H:$H),0)+IFERROR(VLOOKUP($C93,Week5_Team!$B:$K,10,FALSE()),0),1)</f>
        <v>0</v>
      </c>
      <c r="J93" s="8">
        <v>0.0</v>
      </c>
      <c r="K93" s="9">
        <f t="shared" si="2"/>
        <v>190</v>
      </c>
    </row>
    <row r="94" ht="15.75" customHeight="1">
      <c r="A94" s="6">
        <f t="shared" si="1"/>
        <v>46</v>
      </c>
      <c r="B94" s="7" t="s">
        <v>268</v>
      </c>
      <c r="C94" s="7" t="s">
        <v>269</v>
      </c>
      <c r="D94" s="7" t="s">
        <v>255</v>
      </c>
      <c r="E94" s="5">
        <f>ROUND(IFERROR(AVERAGEIF(Week1_Individual!$B:$B,$C94,Week1_Individual!$H:$H),0)+IFERROR(VLOOKUP($C94,Week1_Team!$B:$K,10,FALSE()),0),1)</f>
        <v>0</v>
      </c>
      <c r="F94" s="5">
        <f>ROUND(IFERROR(AVERAGEIF(Week2_Individual!$B:$B,$C94,Week2_Individual!$H:$H),0)+IFERROR(VLOOKUP($C94,Week2_Team!$B:$K,10,FALSE()),0),1)</f>
        <v>0</v>
      </c>
      <c r="G94" s="5">
        <f>ROUND(IFERROR(AVERAGEIF(Week3_Individual!$B:$B,$C94,Week3_Individual!$H:$H),0)+IFERROR(VLOOKUP($C94,Week3_Team!$B:$K,10,FALSE()),0),1)</f>
        <v>0</v>
      </c>
      <c r="H94" s="5">
        <f>ROUND(IFERROR(AVERAGEIF(Week4_Individual!$B:$B,$C94,Week4_Individual!$H:$H),0)+IFERROR(VLOOKUP($C94,Week4_Team!$B:$K,10,FALSE()),0),1)</f>
        <v>0</v>
      </c>
      <c r="I94" s="5">
        <f>ROUND(IFERROR(AVERAGEIF(Week5_Individual!$B:$B,$C94,Week5_Individual!$H:$H),0)+IFERROR(VLOOKUP($C94,Week5_Team!$B:$K,10,FALSE()),0),1)</f>
        <v>0</v>
      </c>
      <c r="J94" s="8">
        <v>0.0</v>
      </c>
      <c r="K94" s="9">
        <f t="shared" si="2"/>
        <v>0</v>
      </c>
    </row>
    <row r="95" ht="15.75" customHeight="1">
      <c r="A95" s="6">
        <f t="shared" si="1"/>
        <v>17</v>
      </c>
      <c r="B95" s="7" t="s">
        <v>270</v>
      </c>
      <c r="C95" s="7" t="s">
        <v>271</v>
      </c>
      <c r="D95" s="7" t="s">
        <v>166</v>
      </c>
      <c r="E95" s="5">
        <f>ROUND(IFERROR(AVERAGEIF(Week1_Individual!$B:$B,$C95,Week1_Individual!$H:$H),0)+IFERROR(VLOOKUP($C95,Week1_Team!$B:$K,10,FALSE()),0),1)</f>
        <v>75</v>
      </c>
      <c r="F95" s="5">
        <f>ROUND(IFERROR(AVERAGEIF(Week2_Individual!$B:$B,$C95,Week2_Individual!$H:$H),0)+IFERROR(VLOOKUP($C95,Week2_Team!$B:$K,10,FALSE()),0),1)</f>
        <v>80</v>
      </c>
      <c r="G95" s="5">
        <f>ROUND(IFERROR(AVERAGEIF(Week3_Individual!$B:$B,$C95,Week3_Individual!$H:$H),0)+IFERROR(VLOOKUP($C95,Week3_Team!$B:$K,10,FALSE()),0),1)</f>
        <v>0</v>
      </c>
      <c r="H95" s="5">
        <f>ROUND(IFERROR(AVERAGEIF(Week4_Individual!$B:$B,$C95,Week4_Individual!$H:$H),0)+IFERROR(VLOOKUP($C95,Week4_Team!$B:$K,10,FALSE()),0),1)</f>
        <v>0</v>
      </c>
      <c r="I95" s="5">
        <f>ROUND(IFERROR(AVERAGEIF(Week5_Individual!$B:$B,$C95,Week5_Individual!$H:$H),0)+IFERROR(VLOOKUP($C95,Week5_Team!$B:$K,10,FALSE()),0),1)</f>
        <v>0</v>
      </c>
      <c r="J95" s="8">
        <v>0.0</v>
      </c>
      <c r="K95" s="9">
        <f t="shared" si="2"/>
        <v>155</v>
      </c>
    </row>
    <row r="96" ht="15.75" customHeight="1">
      <c r="A96" s="6">
        <f t="shared" si="1"/>
        <v>29</v>
      </c>
      <c r="B96" s="7" t="s">
        <v>272</v>
      </c>
      <c r="C96" s="7" t="s">
        <v>273</v>
      </c>
      <c r="D96" s="7" t="s">
        <v>95</v>
      </c>
      <c r="E96" s="5">
        <f>ROUND(IFERROR(AVERAGEIF(Week1_Individual!$B:$B,$C96,Week1_Individual!$H:$H),0)+IFERROR(VLOOKUP($C96,Week1_Team!$B:$K,10,FALSE()),0),1)</f>
        <v>10</v>
      </c>
      <c r="F96" s="5">
        <f>ROUND(IFERROR(AVERAGEIF(Week2_Individual!$B:$B,$C96,Week2_Individual!$H:$H),0)+IFERROR(VLOOKUP($C96,Week2_Team!$B:$K,10,FALSE()),0),1)</f>
        <v>18.8</v>
      </c>
      <c r="G96" s="5">
        <f>ROUND(IFERROR(AVERAGEIF(Week3_Individual!$B:$B,$C96,Week3_Individual!$H:$H),0)+IFERROR(VLOOKUP($C96,Week3_Team!$B:$K,10,FALSE()),0),1)</f>
        <v>0</v>
      </c>
      <c r="H96" s="5">
        <f>ROUND(IFERROR(AVERAGEIF(Week4_Individual!$B:$B,$C96,Week4_Individual!$H:$H),0)+IFERROR(VLOOKUP($C96,Week4_Team!$B:$K,10,FALSE()),0),1)</f>
        <v>0</v>
      </c>
      <c r="I96" s="5">
        <f>ROUND(IFERROR(AVERAGEIF(Week5_Individual!$B:$B,$C96,Week5_Individual!$H:$H),0)+IFERROR(VLOOKUP($C96,Week5_Team!$B:$K,10,FALSE()),0),1)</f>
        <v>0</v>
      </c>
      <c r="J96" s="8">
        <v>0.0</v>
      </c>
      <c r="K96" s="9">
        <f t="shared" si="2"/>
        <v>28.8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0.0"/>
    <col customWidth="1" min="4" max="4" width="11.0"/>
    <col customWidth="1" min="5" max="26" width="8.71"/>
  </cols>
  <sheetData>
    <row r="1">
      <c r="A1" s="3" t="s">
        <v>69</v>
      </c>
      <c r="B1" s="3" t="s">
        <v>70</v>
      </c>
      <c r="C1" s="3" t="s">
        <v>71</v>
      </c>
      <c r="D1" s="3" t="s">
        <v>274</v>
      </c>
    </row>
    <row r="2">
      <c r="A2" s="7" t="s">
        <v>79</v>
      </c>
      <c r="B2" s="7" t="s">
        <v>80</v>
      </c>
      <c r="C2" s="7" t="s">
        <v>81</v>
      </c>
      <c r="D2" s="5">
        <v>4.0</v>
      </c>
    </row>
    <row r="3">
      <c r="A3" s="7" t="s">
        <v>82</v>
      </c>
      <c r="B3" s="7" t="s">
        <v>83</v>
      </c>
      <c r="C3" s="7" t="s">
        <v>81</v>
      </c>
      <c r="D3" s="5">
        <v>2.0</v>
      </c>
    </row>
    <row r="4">
      <c r="A4" s="7" t="s">
        <v>84</v>
      </c>
      <c r="B4" s="7" t="s">
        <v>85</v>
      </c>
      <c r="C4" s="7" t="s">
        <v>86</v>
      </c>
      <c r="D4" s="5">
        <v>2.0</v>
      </c>
    </row>
    <row r="5">
      <c r="A5" s="7" t="s">
        <v>87</v>
      </c>
      <c r="B5" s="7" t="s">
        <v>88</v>
      </c>
      <c r="C5" s="7" t="s">
        <v>81</v>
      </c>
      <c r="D5" s="5">
        <v>2.0</v>
      </c>
    </row>
    <row r="6">
      <c r="A6" s="7" t="s">
        <v>89</v>
      </c>
      <c r="B6" s="7" t="s">
        <v>90</v>
      </c>
      <c r="C6" s="7" t="s">
        <v>81</v>
      </c>
      <c r="D6" s="5">
        <v>2.0</v>
      </c>
    </row>
    <row r="7">
      <c r="A7" s="7" t="s">
        <v>91</v>
      </c>
      <c r="B7" s="7" t="s">
        <v>92</v>
      </c>
      <c r="C7" s="7" t="s">
        <v>81</v>
      </c>
      <c r="D7" s="5">
        <v>2.0</v>
      </c>
    </row>
    <row r="8">
      <c r="A8" s="7" t="s">
        <v>93</v>
      </c>
      <c r="B8" s="7" t="s">
        <v>94</v>
      </c>
      <c r="C8" s="7" t="s">
        <v>95</v>
      </c>
      <c r="D8" s="5">
        <v>4.0</v>
      </c>
    </row>
    <row r="9">
      <c r="A9" s="7" t="s">
        <v>96</v>
      </c>
      <c r="B9" s="7" t="s">
        <v>97</v>
      </c>
      <c r="C9" s="7" t="s">
        <v>81</v>
      </c>
      <c r="D9" s="5">
        <v>3.0</v>
      </c>
    </row>
    <row r="10">
      <c r="A10" s="7" t="s">
        <v>98</v>
      </c>
      <c r="B10" s="7" t="s">
        <v>99</v>
      </c>
      <c r="C10" s="7" t="s">
        <v>95</v>
      </c>
      <c r="D10" s="5">
        <v>2.0</v>
      </c>
    </row>
    <row r="11">
      <c r="A11" s="7" t="s">
        <v>100</v>
      </c>
      <c r="B11" s="7" t="s">
        <v>101</v>
      </c>
      <c r="C11" s="7" t="s">
        <v>95</v>
      </c>
      <c r="D11" s="5">
        <v>4.0</v>
      </c>
    </row>
    <row r="12">
      <c r="A12" s="7" t="s">
        <v>102</v>
      </c>
      <c r="B12" s="7" t="s">
        <v>103</v>
      </c>
      <c r="C12" s="7" t="s">
        <v>81</v>
      </c>
      <c r="D12" s="5">
        <v>4.0</v>
      </c>
    </row>
    <row r="13">
      <c r="A13" s="7" t="s">
        <v>104</v>
      </c>
      <c r="B13" s="7" t="s">
        <v>105</v>
      </c>
      <c r="C13" s="7" t="s">
        <v>95</v>
      </c>
      <c r="D13" s="5">
        <v>2.0</v>
      </c>
    </row>
    <row r="14">
      <c r="A14" s="7" t="s">
        <v>106</v>
      </c>
      <c r="B14" s="7" t="s">
        <v>107</v>
      </c>
      <c r="C14" s="7" t="s">
        <v>81</v>
      </c>
      <c r="D14" s="5">
        <v>3.0</v>
      </c>
    </row>
    <row r="15">
      <c r="A15" s="7" t="s">
        <v>108</v>
      </c>
      <c r="B15" s="7" t="s">
        <v>109</v>
      </c>
      <c r="C15" s="7" t="s">
        <v>81</v>
      </c>
      <c r="D15" s="5">
        <v>2.0</v>
      </c>
    </row>
    <row r="16">
      <c r="A16" s="7" t="s">
        <v>110</v>
      </c>
      <c r="B16" s="7" t="s">
        <v>111</v>
      </c>
      <c r="C16" s="7" t="s">
        <v>95</v>
      </c>
      <c r="D16" s="5">
        <v>3.0</v>
      </c>
    </row>
    <row r="17">
      <c r="A17" s="7" t="s">
        <v>112</v>
      </c>
      <c r="B17" s="7" t="s">
        <v>113</v>
      </c>
      <c r="C17" s="7" t="s">
        <v>86</v>
      </c>
      <c r="D17" s="5">
        <v>3.0</v>
      </c>
    </row>
    <row r="18">
      <c r="A18" s="7" t="s">
        <v>114</v>
      </c>
      <c r="B18" s="7" t="s">
        <v>115</v>
      </c>
      <c r="C18" s="7" t="s">
        <v>95</v>
      </c>
      <c r="D18" s="5">
        <v>3.0</v>
      </c>
    </row>
    <row r="19">
      <c r="A19" s="7" t="s">
        <v>116</v>
      </c>
      <c r="B19" s="7" t="s">
        <v>117</v>
      </c>
      <c r="C19" s="7" t="s">
        <v>81</v>
      </c>
      <c r="D19" s="5">
        <v>2.0</v>
      </c>
    </row>
    <row r="20">
      <c r="A20" s="7" t="s">
        <v>118</v>
      </c>
      <c r="B20" s="7" t="s">
        <v>119</v>
      </c>
      <c r="C20" s="7" t="s">
        <v>81</v>
      </c>
      <c r="D20" s="5">
        <v>2.0</v>
      </c>
    </row>
    <row r="21" ht="15.75" customHeight="1">
      <c r="A21" s="7" t="s">
        <v>120</v>
      </c>
      <c r="B21" s="7" t="s">
        <v>121</v>
      </c>
      <c r="C21" s="7" t="s">
        <v>95</v>
      </c>
      <c r="D21" s="5">
        <v>3.0</v>
      </c>
    </row>
    <row r="22" ht="15.75" customHeight="1">
      <c r="A22" s="7" t="s">
        <v>122</v>
      </c>
      <c r="B22" s="7" t="s">
        <v>123</v>
      </c>
      <c r="C22" s="7" t="s">
        <v>81</v>
      </c>
      <c r="D22" s="5">
        <v>1.0</v>
      </c>
    </row>
    <row r="23" ht="15.75" customHeight="1">
      <c r="A23" s="7" t="s">
        <v>124</v>
      </c>
      <c r="B23" s="7" t="s">
        <v>125</v>
      </c>
      <c r="C23" s="7" t="s">
        <v>81</v>
      </c>
      <c r="D23" s="5">
        <v>2.0</v>
      </c>
    </row>
    <row r="24" ht="15.75" customHeight="1">
      <c r="A24" s="7" t="s">
        <v>126</v>
      </c>
      <c r="B24" s="7" t="s">
        <v>127</v>
      </c>
      <c r="C24" s="7" t="s">
        <v>81</v>
      </c>
      <c r="D24" s="5">
        <v>2.0</v>
      </c>
    </row>
    <row r="25" ht="15.75" customHeight="1">
      <c r="A25" s="7" t="s">
        <v>128</v>
      </c>
      <c r="B25" s="7" t="s">
        <v>129</v>
      </c>
      <c r="C25" s="7" t="s">
        <v>95</v>
      </c>
      <c r="D25" s="5">
        <v>1.0</v>
      </c>
    </row>
    <row r="26" ht="15.75" customHeight="1">
      <c r="A26" s="7" t="s">
        <v>130</v>
      </c>
      <c r="B26" s="7" t="s">
        <v>131</v>
      </c>
      <c r="C26" s="7" t="s">
        <v>86</v>
      </c>
      <c r="D26" s="5">
        <v>1.0</v>
      </c>
    </row>
    <row r="27" ht="15.75" customHeight="1">
      <c r="A27" s="7" t="s">
        <v>132</v>
      </c>
      <c r="B27" s="7" t="s">
        <v>133</v>
      </c>
      <c r="C27" s="7" t="s">
        <v>86</v>
      </c>
      <c r="D27" s="5">
        <v>1.0</v>
      </c>
    </row>
    <row r="28" ht="15.75" customHeight="1">
      <c r="A28" s="7" t="s">
        <v>134</v>
      </c>
      <c r="B28" s="7" t="s">
        <v>135</v>
      </c>
      <c r="C28" s="7" t="s">
        <v>86</v>
      </c>
      <c r="D28" s="5">
        <v>1.0</v>
      </c>
    </row>
    <row r="29" ht="15.75" customHeight="1">
      <c r="A29" s="7" t="s">
        <v>136</v>
      </c>
      <c r="B29" s="7" t="s">
        <v>137</v>
      </c>
      <c r="C29" s="7" t="s">
        <v>86</v>
      </c>
      <c r="D29" s="5">
        <v>1.0</v>
      </c>
    </row>
    <row r="30" ht="15.75" customHeight="1">
      <c r="A30" s="7" t="s">
        <v>138</v>
      </c>
      <c r="B30" s="7" t="s">
        <v>139</v>
      </c>
      <c r="C30" s="7" t="s">
        <v>81</v>
      </c>
      <c r="D30" s="5">
        <v>2.0</v>
      </c>
    </row>
    <row r="31" ht="15.75" customHeight="1">
      <c r="A31" s="7" t="s">
        <v>140</v>
      </c>
      <c r="B31" s="7" t="s">
        <v>141</v>
      </c>
      <c r="C31" s="7" t="s">
        <v>81</v>
      </c>
      <c r="D31" s="5">
        <v>2.0</v>
      </c>
    </row>
    <row r="32" ht="15.75" customHeight="1">
      <c r="A32" s="7" t="s">
        <v>142</v>
      </c>
      <c r="B32" s="7" t="s">
        <v>143</v>
      </c>
      <c r="C32" s="7" t="s">
        <v>86</v>
      </c>
      <c r="D32" s="5">
        <v>1.0</v>
      </c>
    </row>
    <row r="33" ht="15.75" customHeight="1">
      <c r="A33" s="7" t="s">
        <v>144</v>
      </c>
      <c r="B33" s="7" t="s">
        <v>145</v>
      </c>
      <c r="C33" s="7" t="s">
        <v>95</v>
      </c>
      <c r="D33" s="5">
        <v>1.0</v>
      </c>
    </row>
    <row r="34" ht="15.75" customHeight="1">
      <c r="A34" s="7" t="s">
        <v>146</v>
      </c>
      <c r="B34" s="7" t="s">
        <v>147</v>
      </c>
      <c r="C34" s="7" t="s">
        <v>81</v>
      </c>
      <c r="D34" s="5">
        <v>2.0</v>
      </c>
    </row>
    <row r="35" ht="15.75" customHeight="1">
      <c r="A35" s="7" t="s">
        <v>148</v>
      </c>
      <c r="B35" s="7" t="s">
        <v>149</v>
      </c>
      <c r="C35" s="7" t="s">
        <v>81</v>
      </c>
      <c r="D35" s="5">
        <v>2.0</v>
      </c>
    </row>
    <row r="36" ht="15.75" customHeight="1">
      <c r="A36" s="7" t="s">
        <v>150</v>
      </c>
      <c r="B36" s="7" t="s">
        <v>151</v>
      </c>
      <c r="C36" s="7" t="s">
        <v>81</v>
      </c>
      <c r="D36" s="5">
        <v>3.0</v>
      </c>
    </row>
    <row r="37" ht="15.75" customHeight="1">
      <c r="A37" s="7" t="s">
        <v>152</v>
      </c>
      <c r="B37" s="7" t="s">
        <v>153</v>
      </c>
      <c r="C37" s="7" t="s">
        <v>95</v>
      </c>
      <c r="D37" s="5">
        <v>1.0</v>
      </c>
    </row>
    <row r="38" ht="15.75" customHeight="1">
      <c r="A38" s="7" t="s">
        <v>154</v>
      </c>
      <c r="B38" s="7" t="s">
        <v>155</v>
      </c>
      <c r="C38" s="7" t="s">
        <v>95</v>
      </c>
      <c r="D38" s="5">
        <v>3.0</v>
      </c>
    </row>
    <row r="39" ht="15.75" customHeight="1">
      <c r="A39" s="7" t="s">
        <v>156</v>
      </c>
      <c r="B39" s="7" t="s">
        <v>157</v>
      </c>
      <c r="C39" s="7" t="s">
        <v>95</v>
      </c>
      <c r="D39" s="5">
        <v>2.0</v>
      </c>
    </row>
    <row r="40" ht="15.75" customHeight="1">
      <c r="A40" s="7" t="s">
        <v>158</v>
      </c>
      <c r="B40" s="7" t="s">
        <v>159</v>
      </c>
      <c r="C40" s="7" t="s">
        <v>81</v>
      </c>
      <c r="D40" s="5">
        <v>2.0</v>
      </c>
    </row>
    <row r="41" ht="15.75" customHeight="1">
      <c r="A41" s="7" t="s">
        <v>160</v>
      </c>
      <c r="B41" s="7" t="s">
        <v>161</v>
      </c>
      <c r="C41" s="7" t="s">
        <v>95</v>
      </c>
      <c r="D41" s="5">
        <v>2.0</v>
      </c>
    </row>
    <row r="42" ht="15.75" customHeight="1">
      <c r="A42" s="7" t="s">
        <v>162</v>
      </c>
      <c r="B42" s="7" t="s">
        <v>163</v>
      </c>
      <c r="C42" s="7" t="s">
        <v>86</v>
      </c>
      <c r="D42" s="5">
        <v>1.0</v>
      </c>
    </row>
    <row r="43" ht="15.75" customHeight="1">
      <c r="A43" s="7" t="s">
        <v>164</v>
      </c>
      <c r="B43" s="7" t="s">
        <v>165</v>
      </c>
      <c r="C43" s="7" t="s">
        <v>166</v>
      </c>
      <c r="D43" s="5">
        <v>3.0</v>
      </c>
    </row>
    <row r="44" ht="15.75" customHeight="1">
      <c r="A44" s="7" t="s">
        <v>167</v>
      </c>
      <c r="B44" s="7" t="s">
        <v>168</v>
      </c>
      <c r="C44" s="7" t="s">
        <v>81</v>
      </c>
      <c r="D44" s="5">
        <v>2.0</v>
      </c>
    </row>
    <row r="45" ht="15.75" customHeight="1">
      <c r="A45" s="7" t="s">
        <v>169</v>
      </c>
      <c r="B45" s="7" t="s">
        <v>170</v>
      </c>
      <c r="C45" s="7" t="s">
        <v>95</v>
      </c>
      <c r="D45" s="5">
        <v>2.0</v>
      </c>
    </row>
    <row r="46" ht="15.75" customHeight="1">
      <c r="A46" s="7" t="s">
        <v>171</v>
      </c>
      <c r="B46" s="7" t="s">
        <v>172</v>
      </c>
      <c r="C46" s="7" t="s">
        <v>86</v>
      </c>
      <c r="D46" s="5">
        <v>1.0</v>
      </c>
    </row>
    <row r="47" ht="15.75" customHeight="1">
      <c r="A47" s="7" t="s">
        <v>173</v>
      </c>
      <c r="B47" s="7" t="s">
        <v>174</v>
      </c>
      <c r="C47" s="17" t="s">
        <v>95</v>
      </c>
      <c r="D47" s="5">
        <v>3.0</v>
      </c>
    </row>
    <row r="48" ht="15.75" customHeight="1">
      <c r="A48" s="7" t="s">
        <v>175</v>
      </c>
      <c r="B48" s="7" t="s">
        <v>176</v>
      </c>
      <c r="C48" s="7" t="s">
        <v>81</v>
      </c>
      <c r="D48" s="5">
        <v>3.0</v>
      </c>
    </row>
    <row r="49" ht="15.75" customHeight="1">
      <c r="A49" s="7" t="s">
        <v>177</v>
      </c>
      <c r="B49" s="7" t="s">
        <v>178</v>
      </c>
      <c r="C49" s="7" t="s">
        <v>81</v>
      </c>
      <c r="D49" s="5">
        <v>2.0</v>
      </c>
    </row>
    <row r="50" ht="15.75" customHeight="1">
      <c r="A50" s="7" t="s">
        <v>179</v>
      </c>
      <c r="B50" s="7" t="s">
        <v>180</v>
      </c>
      <c r="C50" s="7" t="s">
        <v>95</v>
      </c>
      <c r="D50" s="5">
        <v>4.0</v>
      </c>
    </row>
    <row r="51" ht="15.75" customHeight="1">
      <c r="A51" s="7" t="s">
        <v>181</v>
      </c>
      <c r="B51" s="7" t="s">
        <v>182</v>
      </c>
      <c r="C51" s="7" t="s">
        <v>95</v>
      </c>
      <c r="D51" s="5">
        <v>2.0</v>
      </c>
    </row>
    <row r="52" ht="15.75" customHeight="1">
      <c r="A52" s="7" t="s">
        <v>183</v>
      </c>
      <c r="B52" s="7" t="s">
        <v>184</v>
      </c>
      <c r="C52" s="7" t="s">
        <v>166</v>
      </c>
      <c r="D52" s="5">
        <v>2.0</v>
      </c>
    </row>
    <row r="53" ht="15.75" customHeight="1">
      <c r="A53" s="7" t="s">
        <v>185</v>
      </c>
      <c r="B53" s="7" t="s">
        <v>186</v>
      </c>
      <c r="C53" s="7" t="s">
        <v>81</v>
      </c>
      <c r="D53" s="5">
        <v>3.0</v>
      </c>
    </row>
    <row r="54" ht="15.75" customHeight="1">
      <c r="A54" s="7" t="s">
        <v>187</v>
      </c>
      <c r="B54" s="7" t="s">
        <v>188</v>
      </c>
      <c r="C54" s="7" t="s">
        <v>166</v>
      </c>
      <c r="D54" s="5">
        <v>3.0</v>
      </c>
    </row>
    <row r="55" ht="15.75" customHeight="1">
      <c r="A55" s="7" t="s">
        <v>189</v>
      </c>
      <c r="B55" s="7" t="s">
        <v>190</v>
      </c>
      <c r="C55" s="7" t="s">
        <v>86</v>
      </c>
      <c r="D55" s="5">
        <v>1.0</v>
      </c>
    </row>
    <row r="56" ht="15.75" customHeight="1">
      <c r="A56" s="7" t="s">
        <v>191</v>
      </c>
      <c r="B56" s="7" t="s">
        <v>192</v>
      </c>
      <c r="C56" s="7" t="s">
        <v>86</v>
      </c>
      <c r="D56" s="5">
        <v>1.0</v>
      </c>
    </row>
    <row r="57" ht="15.75" customHeight="1">
      <c r="A57" s="7" t="s">
        <v>193</v>
      </c>
      <c r="B57" s="7" t="s">
        <v>194</v>
      </c>
      <c r="C57" s="7" t="s">
        <v>95</v>
      </c>
      <c r="D57" s="5">
        <v>1.0</v>
      </c>
    </row>
    <row r="58" ht="15.75" customHeight="1">
      <c r="A58" s="7" t="s">
        <v>195</v>
      </c>
      <c r="B58" s="7" t="s">
        <v>196</v>
      </c>
      <c r="C58" s="7" t="s">
        <v>81</v>
      </c>
      <c r="D58" s="5">
        <v>1.0</v>
      </c>
    </row>
    <row r="59" ht="15.75" customHeight="1">
      <c r="A59" s="7" t="s">
        <v>197</v>
      </c>
      <c r="B59" s="7" t="s">
        <v>198</v>
      </c>
      <c r="C59" s="7" t="s">
        <v>95</v>
      </c>
      <c r="D59" s="5">
        <v>2.0</v>
      </c>
    </row>
    <row r="60" ht="15.75" customHeight="1">
      <c r="A60" s="7" t="s">
        <v>199</v>
      </c>
      <c r="B60" s="7" t="s">
        <v>200</v>
      </c>
      <c r="C60" s="7" t="s">
        <v>86</v>
      </c>
      <c r="D60" s="5">
        <v>1.0</v>
      </c>
    </row>
    <row r="61" ht="15.75" customHeight="1">
      <c r="A61" s="7" t="s">
        <v>201</v>
      </c>
      <c r="B61" s="7" t="s">
        <v>202</v>
      </c>
      <c r="C61" s="7" t="s">
        <v>86</v>
      </c>
      <c r="D61" s="5">
        <v>1.0</v>
      </c>
    </row>
    <row r="62" ht="15.75" customHeight="1">
      <c r="A62" s="7" t="s">
        <v>203</v>
      </c>
      <c r="B62" s="7" t="s">
        <v>204</v>
      </c>
      <c r="C62" s="7" t="s">
        <v>81</v>
      </c>
      <c r="D62" s="5">
        <v>2.0</v>
      </c>
    </row>
    <row r="63" ht="15.75" customHeight="1">
      <c r="A63" s="7" t="s">
        <v>205</v>
      </c>
      <c r="B63" s="7" t="s">
        <v>206</v>
      </c>
      <c r="C63" s="7" t="s">
        <v>166</v>
      </c>
      <c r="D63" s="5">
        <v>1.0</v>
      </c>
    </row>
    <row r="64" ht="15.75" customHeight="1">
      <c r="A64" s="7" t="s">
        <v>207</v>
      </c>
      <c r="B64" s="7" t="s">
        <v>208</v>
      </c>
      <c r="C64" s="7" t="s">
        <v>95</v>
      </c>
      <c r="D64" s="5">
        <v>3.0</v>
      </c>
    </row>
    <row r="65" ht="15.75" customHeight="1">
      <c r="A65" s="7" t="s">
        <v>209</v>
      </c>
      <c r="B65" s="7" t="s">
        <v>210</v>
      </c>
      <c r="C65" s="7" t="s">
        <v>81</v>
      </c>
      <c r="D65" s="5">
        <v>3.0</v>
      </c>
    </row>
    <row r="66" ht="15.75" customHeight="1">
      <c r="A66" s="7" t="s">
        <v>211</v>
      </c>
      <c r="B66" s="7" t="s">
        <v>212</v>
      </c>
      <c r="C66" s="7" t="s">
        <v>86</v>
      </c>
      <c r="D66" s="5">
        <v>1.0</v>
      </c>
    </row>
    <row r="67" ht="15.75" customHeight="1">
      <c r="A67" s="7" t="s">
        <v>213</v>
      </c>
      <c r="B67" s="7" t="s">
        <v>214</v>
      </c>
      <c r="C67" s="7" t="s">
        <v>86</v>
      </c>
      <c r="D67" s="5">
        <v>2.0</v>
      </c>
    </row>
    <row r="68" ht="15.75" customHeight="1">
      <c r="A68" s="7" t="s">
        <v>215</v>
      </c>
      <c r="B68" s="7" t="s">
        <v>216</v>
      </c>
      <c r="C68" s="7" t="s">
        <v>81</v>
      </c>
      <c r="D68" s="5">
        <v>2.0</v>
      </c>
    </row>
    <row r="69" ht="15.75" customHeight="1">
      <c r="A69" s="7" t="s">
        <v>217</v>
      </c>
      <c r="B69" s="7" t="s">
        <v>218</v>
      </c>
      <c r="C69" s="7" t="s">
        <v>95</v>
      </c>
      <c r="D69" s="5">
        <v>4.0</v>
      </c>
    </row>
    <row r="70" ht="15.75" customHeight="1">
      <c r="A70" s="7" t="s">
        <v>219</v>
      </c>
      <c r="B70" s="7" t="s">
        <v>220</v>
      </c>
      <c r="C70" s="7" t="s">
        <v>95</v>
      </c>
      <c r="D70" s="5">
        <v>4.0</v>
      </c>
    </row>
    <row r="71" ht="15.75" customHeight="1">
      <c r="A71" s="7" t="s">
        <v>221</v>
      </c>
      <c r="B71" s="7" t="s">
        <v>222</v>
      </c>
      <c r="C71" s="7" t="s">
        <v>81</v>
      </c>
      <c r="D71" s="5">
        <v>3.0</v>
      </c>
    </row>
    <row r="72" ht="15.75" customHeight="1">
      <c r="A72" s="7" t="s">
        <v>223</v>
      </c>
      <c r="B72" s="7" t="s">
        <v>224</v>
      </c>
      <c r="C72" s="7" t="s">
        <v>81</v>
      </c>
      <c r="D72" s="5">
        <v>4.0</v>
      </c>
    </row>
    <row r="73" ht="15.75" customHeight="1">
      <c r="A73" s="7" t="s">
        <v>225</v>
      </c>
      <c r="B73" s="7" t="s">
        <v>226</v>
      </c>
      <c r="C73" s="7" t="s">
        <v>95</v>
      </c>
      <c r="D73" s="5">
        <v>2.0</v>
      </c>
    </row>
    <row r="74" ht="15.75" customHeight="1">
      <c r="A74" s="7" t="s">
        <v>227</v>
      </c>
      <c r="B74" s="7" t="s">
        <v>228</v>
      </c>
      <c r="C74" s="7" t="s">
        <v>81</v>
      </c>
      <c r="D74" s="5">
        <v>2.0</v>
      </c>
    </row>
    <row r="75" ht="15.75" customHeight="1">
      <c r="A75" s="7" t="s">
        <v>229</v>
      </c>
      <c r="B75" s="17" t="s">
        <v>275</v>
      </c>
      <c r="C75" s="7" t="s">
        <v>95</v>
      </c>
      <c r="D75" s="5">
        <v>4.0</v>
      </c>
    </row>
    <row r="76" ht="15.75" customHeight="1">
      <c r="A76" s="7" t="s">
        <v>231</v>
      </c>
      <c r="B76" s="7" t="s">
        <v>232</v>
      </c>
      <c r="C76" s="7" t="s">
        <v>86</v>
      </c>
      <c r="D76" s="5">
        <v>2.0</v>
      </c>
    </row>
    <row r="77" ht="15.75" customHeight="1">
      <c r="A77" s="7" t="s">
        <v>233</v>
      </c>
      <c r="B77" s="7" t="s">
        <v>234</v>
      </c>
      <c r="C77" s="7" t="s">
        <v>81</v>
      </c>
      <c r="D77" s="5">
        <v>2.0</v>
      </c>
    </row>
    <row r="78" ht="15.75" customHeight="1">
      <c r="A78" s="7" t="s">
        <v>235</v>
      </c>
      <c r="B78" s="7" t="s">
        <v>236</v>
      </c>
      <c r="C78" s="7" t="s">
        <v>166</v>
      </c>
      <c r="D78" s="5">
        <v>2.0</v>
      </c>
    </row>
    <row r="79" ht="15.75" customHeight="1">
      <c r="A79" s="7" t="s">
        <v>237</v>
      </c>
      <c r="B79" s="7" t="s">
        <v>238</v>
      </c>
      <c r="C79" s="7" t="s">
        <v>81</v>
      </c>
      <c r="D79" s="5">
        <v>2.0</v>
      </c>
    </row>
    <row r="80" ht="15.75" customHeight="1">
      <c r="A80" s="7" t="s">
        <v>239</v>
      </c>
      <c r="B80" s="7" t="s">
        <v>240</v>
      </c>
      <c r="C80" s="7" t="s">
        <v>81</v>
      </c>
      <c r="D80" s="5">
        <v>2.0</v>
      </c>
    </row>
    <row r="81" ht="15.75" customHeight="1">
      <c r="A81" s="7" t="s">
        <v>241</v>
      </c>
      <c r="B81" s="7" t="s">
        <v>242</v>
      </c>
      <c r="C81" s="7" t="s">
        <v>95</v>
      </c>
      <c r="D81" s="5">
        <v>2.0</v>
      </c>
    </row>
    <row r="82" ht="15.75" customHeight="1">
      <c r="A82" s="7" t="s">
        <v>243</v>
      </c>
      <c r="B82" s="7" t="s">
        <v>244</v>
      </c>
      <c r="C82" s="7" t="s">
        <v>86</v>
      </c>
      <c r="D82" s="5">
        <v>2.0</v>
      </c>
    </row>
    <row r="83" ht="15.75" customHeight="1">
      <c r="A83" s="7" t="s">
        <v>245</v>
      </c>
      <c r="B83" s="7" t="s">
        <v>246</v>
      </c>
      <c r="C83" s="7" t="s">
        <v>81</v>
      </c>
      <c r="D83" s="5">
        <v>4.0</v>
      </c>
    </row>
    <row r="84" ht="15.75" customHeight="1">
      <c r="A84" s="7" t="s">
        <v>247</v>
      </c>
      <c r="B84" s="7" t="s">
        <v>248</v>
      </c>
      <c r="C84" s="7" t="s">
        <v>86</v>
      </c>
      <c r="D84" s="5">
        <v>1.0</v>
      </c>
    </row>
    <row r="85" ht="15.75" customHeight="1">
      <c r="A85" s="7" t="s">
        <v>249</v>
      </c>
      <c r="B85" s="7" t="s">
        <v>250</v>
      </c>
      <c r="C85" s="7" t="s">
        <v>81</v>
      </c>
      <c r="D85" s="5">
        <v>4.0</v>
      </c>
    </row>
    <row r="86" ht="15.75" customHeight="1">
      <c r="A86" s="7" t="s">
        <v>251</v>
      </c>
      <c r="B86" s="7" t="s">
        <v>252</v>
      </c>
      <c r="C86" s="7" t="s">
        <v>81</v>
      </c>
      <c r="D86" s="5">
        <v>2.0</v>
      </c>
    </row>
    <row r="87" ht="15.75" customHeight="1">
      <c r="A87" s="7" t="s">
        <v>253</v>
      </c>
      <c r="B87" s="7" t="s">
        <v>254</v>
      </c>
      <c r="C87" s="7" t="s">
        <v>255</v>
      </c>
      <c r="D87" s="5">
        <v>3.0</v>
      </c>
    </row>
    <row r="88" ht="15.75" customHeight="1">
      <c r="A88" s="7" t="s">
        <v>256</v>
      </c>
      <c r="B88" s="7" t="s">
        <v>257</v>
      </c>
      <c r="C88" s="7" t="s">
        <v>166</v>
      </c>
      <c r="D88" s="5">
        <v>2.0</v>
      </c>
    </row>
    <row r="89" ht="15.75" customHeight="1">
      <c r="A89" s="7" t="s">
        <v>258</v>
      </c>
      <c r="B89" s="7" t="s">
        <v>259</v>
      </c>
      <c r="C89" s="7" t="s">
        <v>95</v>
      </c>
      <c r="D89" s="5">
        <v>4.0</v>
      </c>
    </row>
    <row r="90" ht="15.75" customHeight="1">
      <c r="A90" s="7" t="s">
        <v>260</v>
      </c>
      <c r="B90" s="7" t="s">
        <v>261</v>
      </c>
      <c r="C90" s="7" t="s">
        <v>166</v>
      </c>
      <c r="D90" s="5">
        <v>2.0</v>
      </c>
    </row>
    <row r="91" ht="15.75" customHeight="1">
      <c r="A91" s="7" t="s">
        <v>262</v>
      </c>
      <c r="B91" s="7" t="s">
        <v>263</v>
      </c>
      <c r="C91" s="7" t="s">
        <v>81</v>
      </c>
      <c r="D91" s="5">
        <v>3.0</v>
      </c>
    </row>
    <row r="92" ht="15.75" customHeight="1">
      <c r="A92" s="7" t="s">
        <v>264</v>
      </c>
      <c r="B92" s="7" t="s">
        <v>265</v>
      </c>
      <c r="C92" s="7" t="s">
        <v>81</v>
      </c>
      <c r="D92" s="5">
        <v>2.0</v>
      </c>
    </row>
    <row r="93" ht="15.75" customHeight="1">
      <c r="A93" s="7" t="s">
        <v>266</v>
      </c>
      <c r="B93" s="7" t="s">
        <v>267</v>
      </c>
      <c r="C93" s="7" t="s">
        <v>95</v>
      </c>
      <c r="D93" s="5">
        <v>4.0</v>
      </c>
    </row>
    <row r="94" ht="15.75" customHeight="1">
      <c r="A94" s="7" t="s">
        <v>268</v>
      </c>
      <c r="B94" s="7" t="s">
        <v>269</v>
      </c>
      <c r="C94" s="7" t="s">
        <v>255</v>
      </c>
      <c r="D94" s="5">
        <v>2.0</v>
      </c>
    </row>
    <row r="95" ht="15.75" customHeight="1">
      <c r="A95" s="7" t="s">
        <v>270</v>
      </c>
      <c r="B95" s="7" t="s">
        <v>271</v>
      </c>
      <c r="C95" s="7" t="s">
        <v>166</v>
      </c>
      <c r="D95" s="5">
        <v>2.0</v>
      </c>
    </row>
    <row r="96" ht="15.75" customHeight="1">
      <c r="A96" s="7" t="s">
        <v>272</v>
      </c>
      <c r="B96" s="7" t="s">
        <v>273</v>
      </c>
      <c r="C96" s="7" t="s">
        <v>95</v>
      </c>
      <c r="D96" s="5">
        <v>4.0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4.0"/>
    <col customWidth="1" min="4" max="4" width="14.0"/>
    <col customWidth="1" min="5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/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2.0</v>
      </c>
      <c r="F2" s="18">
        <v>1.0</v>
      </c>
      <c r="G2" s="19">
        <v>0.0</v>
      </c>
      <c r="H2" s="6">
        <f>E2*PV_SESSION+F2*PV_CHALLENGE+G2*PV_WIN</f>
        <v>30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2.0</v>
      </c>
      <c r="F3" s="18">
        <v>1.0</v>
      </c>
      <c r="G3" s="19">
        <v>0.0</v>
      </c>
      <c r="H3" s="6">
        <f>E3*PV_SESSION+F3*PV_CHALLENGE+G3*PV_WIN</f>
        <v>30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2.0</v>
      </c>
      <c r="F4" s="18">
        <v>1.0</v>
      </c>
      <c r="G4" s="18">
        <v>1.0</v>
      </c>
      <c r="H4" s="6">
        <f>E4*PV_SESSION+F4*PV_CHALLENGE+G4*PV_WIN</f>
        <v>60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2.0</v>
      </c>
      <c r="F5" s="18">
        <v>1.0</v>
      </c>
      <c r="G5" s="19">
        <v>0.0</v>
      </c>
      <c r="H5" s="6">
        <f>E5*PV_SESSION+F5*PV_CHALLENGE+G5*PV_WIN</f>
        <v>30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2.0</v>
      </c>
      <c r="F6" s="18">
        <v>1.0</v>
      </c>
      <c r="G6" s="19">
        <v>0.0</v>
      </c>
      <c r="H6" s="6">
        <f>E6*PV_SESSION+F6*PV_CHALLENGE+G6*PV_WIN</f>
        <v>30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8">
        <v>2.0</v>
      </c>
      <c r="F7" s="18">
        <v>1.0</v>
      </c>
      <c r="G7" s="19">
        <v>0.0</v>
      </c>
      <c r="H7" s="6">
        <f>E7*PV_SESSION+F7*PV_CHALLENGE+G7*PV_WIN</f>
        <v>30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2.0</v>
      </c>
      <c r="F10" s="19">
        <v>0.0</v>
      </c>
      <c r="G10" s="19">
        <v>0.0</v>
      </c>
      <c r="H10" s="6">
        <f>E10*PV_SESSION+F10*PV_CHALLENGE+G10*PV_WIN</f>
        <v>10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2.0</v>
      </c>
      <c r="F11" s="19">
        <v>0.0</v>
      </c>
      <c r="G11" s="19">
        <v>0.0</v>
      </c>
      <c r="H11" s="6">
        <f>E11*PV_SESSION+F11*PV_CHALLENGE+G11*PV_WIN</f>
        <v>10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2.0</v>
      </c>
      <c r="F16" s="19">
        <v>0.0</v>
      </c>
      <c r="G16" s="19">
        <v>0.0</v>
      </c>
      <c r="H16" s="6">
        <f>E16*PV_SESSION+F16*PV_CHALLENGE+G16*PV_WIN</f>
        <v>10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2.0</v>
      </c>
      <c r="F17" s="19">
        <v>0.0</v>
      </c>
      <c r="G17" s="19">
        <v>0.0</v>
      </c>
      <c r="H17" s="6">
        <f>E17*PV_SESSION+F17*PV_CHALLENGE+G17*PV_WIN</f>
        <v>10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2.0</v>
      </c>
      <c r="F18" s="18">
        <v>1.0</v>
      </c>
      <c r="G18" s="19">
        <v>0.0</v>
      </c>
      <c r="H18" s="6">
        <f>E18*PV_SESSION+F18*PV_CHALLENGE+G18*PV_WIN</f>
        <v>30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2.0</v>
      </c>
      <c r="F19" s="18">
        <v>1.0</v>
      </c>
      <c r="G19" s="19">
        <v>0.0</v>
      </c>
      <c r="H19" s="6">
        <f>E19*PV_SESSION+F19*PV_CHALLENGE+G19*PV_WIN</f>
        <v>30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8">
        <v>2.0</v>
      </c>
      <c r="F25" s="19">
        <v>0.0</v>
      </c>
      <c r="G25" s="19">
        <v>0.0</v>
      </c>
      <c r="H25" s="6">
        <f>E25*PV_SESSION+F25*PV_CHALLENGE+G25*PV_WIN</f>
        <v>10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8">
        <v>2.0</v>
      </c>
      <c r="F26" s="19">
        <v>0.0</v>
      </c>
      <c r="G26" s="19">
        <v>0.0</v>
      </c>
      <c r="H26" s="6">
        <f>E26*PV_SESSION+F26*PV_CHALLENGE+G26*PV_WIN</f>
        <v>10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8">
        <v>2.0</v>
      </c>
      <c r="F27" s="19">
        <v>0.0</v>
      </c>
      <c r="G27" s="19">
        <v>0.0</v>
      </c>
      <c r="H27" s="6">
        <f>E27*PV_SESSION+F27*PV_CHALLENGE+G27*PV_WIN</f>
        <v>10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8">
        <v>2.0</v>
      </c>
      <c r="F28" s="19">
        <v>0.0</v>
      </c>
      <c r="G28" s="19">
        <v>0.0</v>
      </c>
      <c r="H28" s="6">
        <f>E28*PV_SESSION+F28*PV_CHALLENGE+G28*PV_WIN</f>
        <v>10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2.0</v>
      </c>
      <c r="F29" s="18">
        <v>1.0</v>
      </c>
      <c r="G29" s="19">
        <v>0.0</v>
      </c>
      <c r="H29" s="6">
        <f>E29*PV_SESSION+F29*PV_CHALLENGE+G29*PV_WIN</f>
        <v>30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8">
        <v>2.0</v>
      </c>
      <c r="F30" s="18">
        <v>1.0</v>
      </c>
      <c r="G30" s="18">
        <v>1.0</v>
      </c>
      <c r="H30" s="6">
        <f>E30*PV_SESSION+F30*PV_CHALLENGE+G30*PV_WIN</f>
        <v>60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2.0</v>
      </c>
      <c r="F32" s="18">
        <v>1.0</v>
      </c>
      <c r="G32" s="19">
        <v>0.0</v>
      </c>
      <c r="H32" s="6">
        <f>E32*PV_SESSION+F32*PV_CHALLENGE+G32*PV_WIN</f>
        <v>30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1.0</v>
      </c>
      <c r="F40" s="18">
        <v>1.0</v>
      </c>
      <c r="G40" s="19">
        <v>0.0</v>
      </c>
      <c r="H40" s="6">
        <f>E40*PV_SESSION+F40*PV_CHALLENGE+G40*PV_WIN</f>
        <v>25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1.0</v>
      </c>
      <c r="F41" s="18">
        <v>1.0</v>
      </c>
      <c r="G41" s="19">
        <v>0.0</v>
      </c>
      <c r="H41" s="6">
        <f>E41*PV_SESSION+F41*PV_CHALLENGE+G41*PV_WIN</f>
        <v>25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2.0</v>
      </c>
      <c r="F42" s="19">
        <v>0.0</v>
      </c>
      <c r="G42" s="19">
        <v>0.0</v>
      </c>
      <c r="H42" s="6">
        <f>E42*PV_SESSION+F42*PV_CHALLENGE+G42*PV_WIN</f>
        <v>10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2.0</v>
      </c>
      <c r="F51" s="18">
        <v>1.0</v>
      </c>
      <c r="G51" s="18">
        <v>1.0</v>
      </c>
      <c r="H51" s="6">
        <f>E51*PV_SESSION+F51*PV_CHALLENGE+G51*PV_WIN</f>
        <v>60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2.0</v>
      </c>
      <c r="F52" s="18">
        <v>1.0</v>
      </c>
      <c r="G52" s="19">
        <v>0.0</v>
      </c>
      <c r="H52" s="6">
        <f>E52*PV_SESSION+F52*PV_CHALLENGE+G52*PV_WIN</f>
        <v>30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2.0</v>
      </c>
      <c r="F66" s="18">
        <v>1.0</v>
      </c>
      <c r="G66" s="19">
        <v>0.0</v>
      </c>
      <c r="H66" s="6">
        <f>E66*PV_SESSION+F66*PV_CHALLENGE+G66*PV_WIN</f>
        <v>30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2.0</v>
      </c>
      <c r="F67" s="18">
        <v>1.0</v>
      </c>
      <c r="G67" s="18">
        <v>1.0</v>
      </c>
      <c r="H67" s="6">
        <f>E67*PV_SESSION+F67*PV_CHALLENGE+G67*PV_WIN</f>
        <v>60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8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8">
        <v>2.0</v>
      </c>
      <c r="F76" s="19">
        <v>0.0</v>
      </c>
      <c r="G76" s="19">
        <v>0.0</v>
      </c>
      <c r="H76" s="6">
        <f>E76*PV_SESSION+F76*PV_CHALLENGE+G76*PV_WIN</f>
        <v>10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8">
        <v>2.0</v>
      </c>
      <c r="F77" s="19">
        <v>0.0</v>
      </c>
      <c r="G77" s="19">
        <v>0.0</v>
      </c>
      <c r="H77" s="6">
        <f>E77*PV_SESSION+F77*PV_CHALLENGE+G77*PV_WIN</f>
        <v>10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8">
        <v>2.0</v>
      </c>
      <c r="F78" s="19">
        <v>0.0</v>
      </c>
      <c r="G78" s="19">
        <v>0.0</v>
      </c>
      <c r="H78" s="6">
        <f>E78*PV_SESSION+F78*PV_CHALLENGE+G78*PV_WIN</f>
        <v>10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2.0</v>
      </c>
      <c r="F83" s="18">
        <v>1.0</v>
      </c>
      <c r="G83" s="18">
        <v>1.0</v>
      </c>
      <c r="H83" s="6">
        <f>E83*PV_SESSION+F83*PV_CHALLENGE+G83*PV_WIN</f>
        <v>60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8">
        <v>2.0</v>
      </c>
      <c r="F84" s="18">
        <v>1.0</v>
      </c>
      <c r="G84" s="19">
        <v>0.0</v>
      </c>
      <c r="H84" s="6">
        <f>E84*PV_SESSION+F84*PV_CHALLENGE+G84*PV_WIN</f>
        <v>30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8">
        <v>2.0</v>
      </c>
      <c r="F85" s="19">
        <v>0.0</v>
      </c>
      <c r="G85" s="19">
        <v>0.0</v>
      </c>
      <c r="H85" s="6">
        <f>E85*PV_SESSION+F85*PV_CHALLENGE+G85*PV_WIN</f>
        <v>10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8">
        <v>2.0</v>
      </c>
      <c r="F86" s="19">
        <v>0.0</v>
      </c>
      <c r="G86" s="19">
        <v>0.0</v>
      </c>
      <c r="H86" s="6">
        <f>E86*PV_SESSION+F86*PV_CHALLENGE+G86*PV_WIN</f>
        <v>10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1.0</v>
      </c>
      <c r="F90" s="18">
        <v>1.0</v>
      </c>
      <c r="G90" s="19">
        <v>0.0</v>
      </c>
      <c r="H90" s="6">
        <f>E90*PV_SESSION+F90*PV_CHALLENGE+G90*PV_WIN</f>
        <v>25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2.0</v>
      </c>
      <c r="F91" s="18">
        <v>1.0</v>
      </c>
      <c r="G91" s="19">
        <v>0.0</v>
      </c>
      <c r="H91" s="6">
        <f>E91*PV_SESSION+F91*PV_CHALLENGE+G91*PV_WIN</f>
        <v>30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8">
        <v>1.0</v>
      </c>
      <c r="G92" s="19">
        <v>0.0</v>
      </c>
      <c r="H92" s="6">
        <f>E92*PV_SESSION+F92*PV_CHALLENGE+G92*PV_WIN</f>
        <v>20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2.0</v>
      </c>
      <c r="F98" s="18">
        <v>1.0</v>
      </c>
      <c r="G98" s="19">
        <v>0.0</v>
      </c>
      <c r="H98" s="6">
        <f>E98*PV_SESSION+F98*PV_CHALLENGE+G98*PV_WIN</f>
        <v>30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2.0</v>
      </c>
      <c r="F99" s="18">
        <v>1.0</v>
      </c>
      <c r="G99" s="18">
        <v>1.0</v>
      </c>
      <c r="H99" s="6">
        <f>E99*PV_SESSION+F99*PV_CHALLENGE+G99*PV_WIN</f>
        <v>60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2.0</v>
      </c>
      <c r="F100" s="18">
        <v>1.0</v>
      </c>
      <c r="G100" s="18">
        <v>0.0</v>
      </c>
      <c r="H100" s="6">
        <f>E100*PV_SESSION+F100*PV_CHALLENGE+G100*PV_WIN</f>
        <v>30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8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2.0</v>
      </c>
      <c r="F114" s="18">
        <v>1.0</v>
      </c>
      <c r="G114" s="19">
        <v>0.0</v>
      </c>
      <c r="H114" s="6">
        <f>E114*PV_SESSION+F114*PV_CHALLENGE+G114*PV_WIN</f>
        <v>30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2.0</v>
      </c>
      <c r="F115" s="18">
        <v>1.0</v>
      </c>
      <c r="G115" s="19">
        <v>0.0</v>
      </c>
      <c r="H115" s="6">
        <f>E115*PV_SESSION+F115*PV_CHALLENGE+G115*PV_WIN</f>
        <v>30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2.0</v>
      </c>
      <c r="F116" s="18">
        <v>1.0</v>
      </c>
      <c r="G116" s="19">
        <v>0.0</v>
      </c>
      <c r="H116" s="6">
        <f>E116*PV_SESSION+F116*PV_CHALLENGE+G116*PV_WIN</f>
        <v>30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8">
        <v>2.0</v>
      </c>
      <c r="F117" s="18">
        <v>1.0</v>
      </c>
      <c r="G117" s="18">
        <v>1.0</v>
      </c>
      <c r="H117" s="6">
        <f>E117*PV_SESSION+F117*PV_CHALLENGE+G117*PV_WIN</f>
        <v>60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2.0</v>
      </c>
      <c r="F118" s="18">
        <v>1.0</v>
      </c>
      <c r="G118" s="19">
        <v>0.0</v>
      </c>
      <c r="H118" s="6">
        <f>E118*PV_SESSION+F118*PV_CHALLENGE+G118*PV_WIN</f>
        <v>30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1.0</v>
      </c>
      <c r="F119" s="18">
        <v>1.0</v>
      </c>
      <c r="G119" s="19">
        <v>0.0</v>
      </c>
      <c r="H119" s="6">
        <f>E119*PV_SESSION+F119*PV_CHALLENGE+G119*PV_WIN</f>
        <v>25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8">
        <v>2.0</v>
      </c>
      <c r="F122" s="19">
        <v>0.0</v>
      </c>
      <c r="G122" s="19">
        <v>0.0</v>
      </c>
      <c r="H122" s="6">
        <f>E122*PV_SESSION+F122*PV_CHALLENGE+G122*PV_WIN</f>
        <v>10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8">
        <v>1.0</v>
      </c>
      <c r="G135" s="18">
        <v>1.0</v>
      </c>
      <c r="H135" s="6">
        <f>E135*PV_SESSION+F135*PV_CHALLENGE+G135*PV_WIN</f>
        <v>50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8">
        <v>1.0</v>
      </c>
      <c r="G139" s="19">
        <v>0.0</v>
      </c>
      <c r="H139" s="6">
        <f>E139*PV_SESSION+F139*PV_CHALLENGE+G139*PV_WIN</f>
        <v>20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2.0</v>
      </c>
      <c r="F140" s="18">
        <v>1.0</v>
      </c>
      <c r="G140" s="18">
        <v>1.0</v>
      </c>
      <c r="H140" s="6">
        <f>E140*PV_SESSION+F140*PV_CHALLENGE+G140*PV_WIN</f>
        <v>60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2.0</v>
      </c>
      <c r="F141" s="18">
        <v>1.0</v>
      </c>
      <c r="G141" s="18">
        <v>1.0</v>
      </c>
      <c r="H141" s="6">
        <f>E141*PV_SESSION+F141*PV_CHALLENGE+G141*PV_WIN</f>
        <v>60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8">
        <v>2.0</v>
      </c>
      <c r="F150" s="19">
        <v>0.0</v>
      </c>
      <c r="G150" s="19">
        <v>0.0</v>
      </c>
      <c r="H150" s="6">
        <f>E150*PV_SESSION+F150*PV_CHALLENGE+G150*PV_WIN</f>
        <v>10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8">
        <v>1.0</v>
      </c>
      <c r="F151" s="19">
        <v>0.0</v>
      </c>
      <c r="G151" s="19">
        <v>0.0</v>
      </c>
      <c r="H151" s="6">
        <f>E151*PV_SESSION+F151*PV_CHALLENGE+G151*PV_WIN</f>
        <v>5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8">
        <v>1.0</v>
      </c>
      <c r="F152" s="19">
        <v>0.0</v>
      </c>
      <c r="G152" s="19">
        <v>0.0</v>
      </c>
      <c r="H152" s="6">
        <f>E152*PV_SESSION+F152*PV_CHALLENGE+G152*PV_WIN</f>
        <v>5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8">
        <v>1.0</v>
      </c>
      <c r="F153" s="19">
        <v>0.0</v>
      </c>
      <c r="G153" s="19">
        <v>0.0</v>
      </c>
      <c r="H153" s="6">
        <f>E153*PV_SESSION+F153*PV_CHALLENGE+G153*PV_WIN</f>
        <v>5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8">
        <v>2.0</v>
      </c>
      <c r="F154" s="18">
        <v>1.0</v>
      </c>
      <c r="G154" s="19">
        <v>0.0</v>
      </c>
      <c r="H154" s="6">
        <f>E154*PV_SESSION+F154*PV_CHALLENGE+G154*PV_WIN</f>
        <v>30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8">
        <v>2.0</v>
      </c>
      <c r="F155" s="18">
        <v>1.0</v>
      </c>
      <c r="G155" s="19">
        <v>0.0</v>
      </c>
      <c r="H155" s="6">
        <f>E155*PV_SESSION+F155*PV_CHALLENGE+G155*PV_WIN</f>
        <v>30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8">
        <v>2.0</v>
      </c>
      <c r="F156" s="19">
        <v>0.0</v>
      </c>
      <c r="G156" s="19">
        <v>0.0</v>
      </c>
      <c r="H156" s="6">
        <f>E156*PV_SESSION+F156*PV_CHALLENGE+G156*PV_WIN</f>
        <v>10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17" t="s">
        <v>275</v>
      </c>
      <c r="C161" s="7" t="s">
        <v>437</v>
      </c>
      <c r="D161" s="7" t="s">
        <v>279</v>
      </c>
      <c r="E161" s="18">
        <v>2.0</v>
      </c>
      <c r="F161" s="18">
        <v>1.0</v>
      </c>
      <c r="G161" s="19">
        <v>0.0</v>
      </c>
      <c r="H161" s="6">
        <f>E161*PV_SESSION+F161*PV_CHALLENGE+G161*PV_WIN</f>
        <v>30</v>
      </c>
    </row>
    <row r="162" ht="15.75" customHeight="1">
      <c r="A162" s="7" t="s">
        <v>229</v>
      </c>
      <c r="B162" s="17" t="s">
        <v>275</v>
      </c>
      <c r="C162" s="7" t="s">
        <v>438</v>
      </c>
      <c r="D162" s="7" t="s">
        <v>281</v>
      </c>
      <c r="E162" s="18">
        <v>2.0</v>
      </c>
      <c r="F162" s="19">
        <v>0.0</v>
      </c>
      <c r="G162" s="19">
        <v>0.0</v>
      </c>
      <c r="H162" s="6">
        <f>E162*PV_SESSION+F162*PV_CHALLENGE+G162*PV_WIN</f>
        <v>10</v>
      </c>
    </row>
    <row r="163" ht="15.75" customHeight="1">
      <c r="A163" s="7" t="s">
        <v>229</v>
      </c>
      <c r="B163" s="17" t="s">
        <v>275</v>
      </c>
      <c r="C163" s="7" t="s">
        <v>439</v>
      </c>
      <c r="D163" s="7" t="s">
        <v>281</v>
      </c>
      <c r="E163" s="18">
        <v>2.0</v>
      </c>
      <c r="F163" s="19">
        <v>0.0</v>
      </c>
      <c r="G163" s="19">
        <v>0.0</v>
      </c>
      <c r="H163" s="6">
        <f>E163*PV_SESSION+F163*PV_CHALLENGE+G163*PV_WIN</f>
        <v>10</v>
      </c>
    </row>
    <row r="164" ht="15.75" customHeight="1">
      <c r="A164" s="7" t="s">
        <v>229</v>
      </c>
      <c r="B164" s="17" t="s">
        <v>275</v>
      </c>
      <c r="C164" s="7" t="s">
        <v>440</v>
      </c>
      <c r="D164" s="7" t="s">
        <v>281</v>
      </c>
      <c r="E164" s="18">
        <v>2.0</v>
      </c>
      <c r="F164" s="19">
        <v>0.0</v>
      </c>
      <c r="G164" s="19">
        <v>0.0</v>
      </c>
      <c r="H164" s="6">
        <f>E164*PV_SESSION+F164*PV_CHALLENGE+G164*PV_WIN</f>
        <v>10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8">
        <v>2.0</v>
      </c>
      <c r="F165" s="19">
        <v>0.0</v>
      </c>
      <c r="G165" s="19">
        <v>0.0</v>
      </c>
      <c r="H165" s="6">
        <f>E165*PV_SESSION+F165*PV_CHALLENGE+G165*PV_WIN</f>
        <v>10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8">
        <v>2.0</v>
      </c>
      <c r="F166" s="19">
        <v>0.0</v>
      </c>
      <c r="G166" s="19">
        <v>0.0</v>
      </c>
      <c r="H166" s="6">
        <f>E166*PV_SESSION+F166*PV_CHALLENGE+G166*PV_WIN</f>
        <v>10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2.0</v>
      </c>
      <c r="F167" s="19">
        <v>0.0</v>
      </c>
      <c r="G167" s="19">
        <v>0.0</v>
      </c>
      <c r="H167" s="6">
        <f>E167*PV_SESSION+F167*PV_CHALLENGE+G167*PV_WIN</f>
        <v>10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1.0</v>
      </c>
      <c r="F168" s="18">
        <v>1.0</v>
      </c>
      <c r="G168" s="18">
        <v>1.0</v>
      </c>
      <c r="H168" s="6">
        <f>E168*PV_SESSION+F168*PV_CHALLENGE+G168*PV_WIN</f>
        <v>55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2.0</v>
      </c>
      <c r="F169" s="18">
        <v>1.0</v>
      </c>
      <c r="G169" s="19">
        <v>0.0</v>
      </c>
      <c r="H169" s="6">
        <f>E169*PV_SESSION+F169*PV_CHALLENGE+G169*PV_WIN</f>
        <v>30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2.0</v>
      </c>
      <c r="F170" s="18">
        <v>1.0</v>
      </c>
      <c r="G170" s="19">
        <v>0.0</v>
      </c>
      <c r="H170" s="6">
        <f>E170*PV_SESSION+F170*PV_CHALLENGE+G170*PV_WIN</f>
        <v>30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8">
        <v>1.0</v>
      </c>
      <c r="G171" s="19">
        <v>0.0</v>
      </c>
      <c r="H171" s="6">
        <f>E171*PV_SESSION+F171*PV_CHALLENGE+G171*PV_WIN</f>
        <v>20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8">
        <v>1.0</v>
      </c>
      <c r="G176" s="19">
        <v>0.0</v>
      </c>
      <c r="H176" s="6">
        <f>E176*PV_SESSION+F176*PV_CHALLENGE+G176*PV_WIN</f>
        <v>20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2.0</v>
      </c>
      <c r="F179" s="18">
        <v>1.0</v>
      </c>
      <c r="G179" s="19">
        <v>0.0</v>
      </c>
      <c r="H179" s="6">
        <f>E179*PV_SESSION+F179*PV_CHALLENGE+G179*PV_WIN</f>
        <v>30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2.0</v>
      </c>
      <c r="F180" s="18">
        <v>1.0</v>
      </c>
      <c r="G180" s="19">
        <v>0.0</v>
      </c>
      <c r="H180" s="6">
        <f>E180*PV_SESSION+F180*PV_CHALLENGE+G180*PV_WIN</f>
        <v>30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2.0</v>
      </c>
      <c r="F181" s="18">
        <v>1.0</v>
      </c>
      <c r="G181" s="19">
        <v>0.0</v>
      </c>
      <c r="H181" s="6">
        <f>E181*PV_SESSION+F181*PV_CHALLENGE+G181*PV_WIN</f>
        <v>30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2.0</v>
      </c>
      <c r="F182" s="19">
        <v>0.0</v>
      </c>
      <c r="G182" s="19">
        <v>0.0</v>
      </c>
      <c r="H182" s="6">
        <f>E182*PV_SESSION+F182*PV_CHALLENGE+G182*PV_WIN</f>
        <v>10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2.0</v>
      </c>
      <c r="F184" s="18">
        <v>1.0</v>
      </c>
      <c r="G184" s="18">
        <v>1.0</v>
      </c>
      <c r="H184" s="6">
        <f>E184*PV_SESSION+F184*PV_CHALLENGE+G184*PV_WIN</f>
        <v>60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1.0</v>
      </c>
      <c r="F185" s="18">
        <v>1.0</v>
      </c>
      <c r="G185" s="19">
        <v>0.0</v>
      </c>
      <c r="H185" s="6">
        <f>E185*PV_SESSION+F185*PV_CHALLENGE+G185*PV_WIN</f>
        <v>25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2.0</v>
      </c>
      <c r="F186" s="18">
        <v>1.0</v>
      </c>
      <c r="G186" s="19">
        <v>0.0</v>
      </c>
      <c r="H186" s="6">
        <f>E186*PV_SESSION+F186*PV_CHALLENGE+G186*PV_WIN</f>
        <v>30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1.0</v>
      </c>
      <c r="F187" s="18">
        <v>1.0</v>
      </c>
      <c r="G187" s="19">
        <v>0.0</v>
      </c>
      <c r="H187" s="6">
        <f>E187*PV_SESSION+F187*PV_CHALLENGE+G187*PV_WIN</f>
        <v>25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8">
        <v>2.0</v>
      </c>
      <c r="F188" s="19">
        <v>0.0</v>
      </c>
      <c r="G188" s="19">
        <v>0.0</v>
      </c>
      <c r="H188" s="6">
        <f>E188*PV_SESSION+F188*PV_CHALLENGE+G188*PV_WIN</f>
        <v>10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8">
        <v>2.0</v>
      </c>
      <c r="F189" s="19">
        <v>0.0</v>
      </c>
      <c r="G189" s="19">
        <v>0.0</v>
      </c>
      <c r="H189" s="6">
        <f>E189*PV_SESSION+F189*PV_CHALLENGE+G189*PV_WIN</f>
        <v>10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8">
        <v>1.0</v>
      </c>
      <c r="G191" s="19">
        <v>0.0</v>
      </c>
      <c r="H191" s="6">
        <f>E191*PV_SESSION+F191*PV_CHALLENGE+G191*PV_WIN</f>
        <v>20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8">
        <v>2.0</v>
      </c>
      <c r="F195" s="19">
        <v>0.0</v>
      </c>
      <c r="G195" s="19">
        <v>0.0</v>
      </c>
      <c r="H195" s="6">
        <f>E195*PV_SESSION+F195*PV_CHALLENGE+G195*PV_WIN</f>
        <v>10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8">
        <v>2.0</v>
      </c>
      <c r="F196" s="18">
        <v>1.0</v>
      </c>
      <c r="G196" s="19">
        <v>0.0</v>
      </c>
      <c r="H196" s="6">
        <f>E196*PV_SESSION+F196*PV_CHALLENGE+G196*PV_WIN</f>
        <v>30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8">
        <v>2.0</v>
      </c>
      <c r="F197" s="19">
        <v>0.0</v>
      </c>
      <c r="G197" s="19">
        <v>0.0</v>
      </c>
      <c r="H197" s="6">
        <f>E197*PV_SESSION+F197*PV_CHALLENGE+G197*PV_WIN</f>
        <v>10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8">
        <v>2.0</v>
      </c>
      <c r="F198" s="19">
        <v>0.0</v>
      </c>
      <c r="G198" s="19">
        <v>0.0</v>
      </c>
      <c r="H198" s="6">
        <f>E198*PV_SESSION+F198*PV_CHALLENGE+G198*PV_WIN</f>
        <v>10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8">
        <v>2.0</v>
      </c>
      <c r="F199" s="18">
        <v>1.0</v>
      </c>
      <c r="G199" s="19">
        <v>0.0</v>
      </c>
      <c r="H199" s="6">
        <f>E199*PV_SESSION+F199*PV_CHALLENGE+G199*PV_WIN</f>
        <v>30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8">
        <v>1.0</v>
      </c>
      <c r="F200" s="19">
        <v>0.0</v>
      </c>
      <c r="G200" s="19">
        <v>0.0</v>
      </c>
      <c r="H200" s="6">
        <f>E200*PV_SESSION+F200*PV_CHALLENGE+G200*PV_WIN</f>
        <v>5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8">
        <v>1.0</v>
      </c>
      <c r="G206" s="19">
        <v>0.0</v>
      </c>
      <c r="H206" s="6">
        <f>E206*PV_SESSION+F206*PV_CHALLENGE+G206*PV_WIN</f>
        <v>20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8">
        <v>1.0</v>
      </c>
      <c r="G207" s="19">
        <v>0.0</v>
      </c>
      <c r="H207" s="6">
        <f>E207*PV_SESSION+F207*PV_CHALLENGE+G207*PV_WIN</f>
        <v>20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8">
        <v>1.0</v>
      </c>
      <c r="G208" s="19">
        <v>0.0</v>
      </c>
      <c r="H208" s="6">
        <f>E208*PV_SESSION+F208*PV_CHALLENGE+G208*PV_WIN</f>
        <v>20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8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2.0</v>
      </c>
      <c r="F212" s="18">
        <v>1.0</v>
      </c>
      <c r="G212" s="19">
        <v>0.0</v>
      </c>
      <c r="H212" s="6">
        <f>E212*PV_SESSION+F212*PV_CHALLENGE+G212*PV_WIN</f>
        <v>30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2.0</v>
      </c>
      <c r="F213" s="18">
        <v>1.0</v>
      </c>
      <c r="G213" s="19">
        <v>0.0</v>
      </c>
      <c r="H213" s="6">
        <f>E213*PV_SESSION+F213*PV_CHALLENGE+G213*PV_WIN</f>
        <v>30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2.0</v>
      </c>
      <c r="F214" s="19">
        <v>0.0</v>
      </c>
      <c r="G214" s="19">
        <v>0.0</v>
      </c>
      <c r="H214" s="6">
        <f>E214*PV_SESSION+F214*PV_CHALLENGE+G214*PV_WIN</f>
        <v>10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2.0</v>
      </c>
      <c r="F216" s="19">
        <v>0.0</v>
      </c>
      <c r="G216" s="19">
        <v>0.0</v>
      </c>
      <c r="H216" s="6">
        <f>E216*PV_SESSION+F216*PV_CHALLENGE+G216*PV_WIN</f>
        <v>10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2.0</v>
      </c>
      <c r="F217" s="19">
        <v>0.0</v>
      </c>
      <c r="G217" s="19">
        <v>0.0</v>
      </c>
      <c r="H217" s="6">
        <f>E217*PV_SESSION+F217*PV_CHALLENGE+G217*PV_WIN</f>
        <v>10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4.0</v>
      </c>
      <c r="F2" s="18">
        <v>1.0</v>
      </c>
      <c r="G2" s="18">
        <v>1.0</v>
      </c>
      <c r="H2" s="6">
        <f>E2*PV_SESSION+F2*PV_CHALLENGE+G2*PV_WIN</f>
        <v>70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4.0</v>
      </c>
      <c r="F3" s="18">
        <v>1.0</v>
      </c>
      <c r="G3" s="18">
        <v>1.0</v>
      </c>
      <c r="H3" s="6">
        <f>E3*PV_SESSION+F3*PV_CHALLENGE+G3*PV_WIN</f>
        <v>70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4.0</v>
      </c>
      <c r="F4" s="18">
        <v>1.0</v>
      </c>
      <c r="G4" s="19">
        <v>0.0</v>
      </c>
      <c r="H4" s="6">
        <f>E4*PV_SESSION+F4*PV_CHALLENGE+G4*PV_WIN</f>
        <v>40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4.0</v>
      </c>
      <c r="F5" s="18">
        <v>1.0</v>
      </c>
      <c r="G5" s="19">
        <v>0.0</v>
      </c>
      <c r="H5" s="6">
        <f>E5*PV_SESSION+F5*PV_CHALLENGE+G5*PV_WIN</f>
        <v>40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4.0</v>
      </c>
      <c r="F6" s="18">
        <v>1.0</v>
      </c>
      <c r="G6" s="19">
        <v>0.0</v>
      </c>
      <c r="H6" s="6">
        <f>E6*PV_SESSION+F6*PV_CHALLENGE+G6*PV_WIN</f>
        <v>40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8">
        <v>4.0</v>
      </c>
      <c r="F7" s="18">
        <v>1.0</v>
      </c>
      <c r="G7" s="19">
        <v>0.0</v>
      </c>
      <c r="H7" s="6">
        <f>E7*PV_SESSION+F7*PV_CHALLENGE+G7*PV_WIN</f>
        <v>40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4.0</v>
      </c>
      <c r="F10" s="19">
        <v>0.0</v>
      </c>
      <c r="G10" s="19">
        <v>0.0</v>
      </c>
      <c r="H10" s="6">
        <f>E10*PV_SESSION+F10*PV_CHALLENGE+G10*PV_WIN</f>
        <v>20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4.0</v>
      </c>
      <c r="F11" s="19">
        <v>0.0</v>
      </c>
      <c r="G11" s="19">
        <v>0.0</v>
      </c>
      <c r="H11" s="6">
        <f>E11*PV_SESSION+F11*PV_CHALLENGE+G11*PV_WIN</f>
        <v>20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8">
        <v>1.0</v>
      </c>
      <c r="G14" s="19">
        <v>0.0</v>
      </c>
      <c r="H14" s="6">
        <f>E14*PV_SESSION+F14*PV_CHALLENGE+G14*PV_WIN</f>
        <v>20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8">
        <v>1.0</v>
      </c>
      <c r="G15" s="19">
        <v>0.0</v>
      </c>
      <c r="H15" s="6">
        <f>E15*PV_SESSION+F15*PV_CHALLENGE+G15*PV_WIN</f>
        <v>20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4.0</v>
      </c>
      <c r="F16" s="18">
        <v>1.0</v>
      </c>
      <c r="G16" s="19">
        <v>0.0</v>
      </c>
      <c r="H16" s="6">
        <f>E16*PV_SESSION+F16*PV_CHALLENGE+G16*PV_WIN</f>
        <v>40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4.0</v>
      </c>
      <c r="F17" s="18">
        <v>1.0</v>
      </c>
      <c r="G17" s="19">
        <v>0.0</v>
      </c>
      <c r="H17" s="6">
        <f>E17*PV_SESSION+F17*PV_CHALLENGE+G17*PV_WIN</f>
        <v>40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4.0</v>
      </c>
      <c r="F18" s="18">
        <v>1.0</v>
      </c>
      <c r="G18" s="19">
        <v>0.0</v>
      </c>
      <c r="H18" s="6">
        <f>E18*PV_SESSION+F18*PV_CHALLENGE+G18*PV_WIN</f>
        <v>40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4.0</v>
      </c>
      <c r="F19" s="18">
        <v>1.0</v>
      </c>
      <c r="G19" s="19">
        <v>0.0</v>
      </c>
      <c r="H19" s="6">
        <f>E19*PV_SESSION+F19*PV_CHALLENGE+G19*PV_WIN</f>
        <v>40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4.0</v>
      </c>
      <c r="F29" s="18">
        <v>1.0</v>
      </c>
      <c r="G29" s="19">
        <v>0.0</v>
      </c>
      <c r="H29" s="6">
        <f>E29*PV_SESSION+F29*PV_CHALLENGE+G29*PV_WIN</f>
        <v>40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8">
        <v>4.0</v>
      </c>
      <c r="F30" s="18">
        <v>1.0</v>
      </c>
      <c r="G30" s="19">
        <v>0.0</v>
      </c>
      <c r="H30" s="6">
        <f>E30*PV_SESSION+F30*PV_CHALLENGE+G30*PV_WIN</f>
        <v>40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4.0</v>
      </c>
      <c r="F32" s="18">
        <v>1.0</v>
      </c>
      <c r="G32" s="18">
        <v>1.0</v>
      </c>
      <c r="H32" s="6">
        <f>E32*PV_SESSION+F32*PV_CHALLENGE+G32*PV_WIN</f>
        <v>70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8">
        <v>1.0</v>
      </c>
      <c r="F37" s="19">
        <v>0.0</v>
      </c>
      <c r="G37" s="19">
        <v>0.0</v>
      </c>
      <c r="H37" s="6">
        <f>E37*PV_SESSION+F37*PV_CHALLENGE+G37*PV_WIN</f>
        <v>5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8">
        <v>1.0</v>
      </c>
      <c r="G40" s="19">
        <v>0.0</v>
      </c>
      <c r="H40" s="6">
        <f>E40*PV_SESSION+F40*PV_CHALLENGE+G40*PV_WIN</f>
        <v>20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8">
        <v>1.0</v>
      </c>
      <c r="G41" s="19">
        <v>0.0</v>
      </c>
      <c r="H41" s="6">
        <f>E41*PV_SESSION+F41*PV_CHALLENGE+G41*PV_WIN</f>
        <v>20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8">
        <v>1.0</v>
      </c>
      <c r="G42" s="19">
        <v>0.0</v>
      </c>
      <c r="H42" s="6">
        <f>E42*PV_SESSION+F42*PV_CHALLENGE+G42*PV_WIN</f>
        <v>20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3.0</v>
      </c>
      <c r="F51" s="18">
        <v>1.0</v>
      </c>
      <c r="G51" s="18">
        <v>1.0</v>
      </c>
      <c r="H51" s="6">
        <f>E51*PV_SESSION+F51*PV_CHALLENGE+G51*PV_WIN</f>
        <v>65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2.0</v>
      </c>
      <c r="F52" s="19">
        <v>0.0</v>
      </c>
      <c r="G52" s="19">
        <v>0.0</v>
      </c>
      <c r="H52" s="6">
        <f>E52*PV_SESSION+F52*PV_CHALLENGE+G52*PV_WIN</f>
        <v>10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4.0</v>
      </c>
      <c r="F66" s="18">
        <v>1.0</v>
      </c>
      <c r="G66" s="19">
        <v>0.0</v>
      </c>
      <c r="H66" s="6">
        <f>E66*PV_SESSION+F66*PV_CHALLENGE+G66*PV_WIN</f>
        <v>40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4.0</v>
      </c>
      <c r="F67" s="18">
        <v>1.0</v>
      </c>
      <c r="G67" s="19">
        <v>0.0</v>
      </c>
      <c r="H67" s="6">
        <f>E67*PV_SESSION+F67*PV_CHALLENGE+G67*PV_WIN</f>
        <v>40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8">
        <v>1.0</v>
      </c>
      <c r="G75" s="19">
        <v>0.0</v>
      </c>
      <c r="H75" s="6">
        <f>E75*PV_SESSION+F75*PV_CHALLENGE+G75*PV_WIN</f>
        <v>20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3.0</v>
      </c>
      <c r="F83" s="18">
        <v>1.0</v>
      </c>
      <c r="G83" s="19">
        <v>0.0</v>
      </c>
      <c r="H83" s="6">
        <f>E83*PV_SESSION+F83*PV_CHALLENGE+G83*PV_WIN</f>
        <v>35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8">
        <v>4.0</v>
      </c>
      <c r="F84" s="18">
        <v>1.0</v>
      </c>
      <c r="G84" s="19">
        <v>0.0</v>
      </c>
      <c r="H84" s="6">
        <f>E84*PV_SESSION+F84*PV_CHALLENGE+G84*PV_WIN</f>
        <v>40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4.0</v>
      </c>
      <c r="F90" s="18">
        <v>1.0</v>
      </c>
      <c r="G90" s="19">
        <v>0.0</v>
      </c>
      <c r="H90" s="6">
        <f>E90*PV_SESSION+F90*PV_CHALLENGE+G90*PV_WIN</f>
        <v>40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4.0</v>
      </c>
      <c r="F91" s="18">
        <v>1.0</v>
      </c>
      <c r="G91" s="18">
        <v>1.0</v>
      </c>
      <c r="H91" s="6">
        <f>E91*PV_SESSION+F91*PV_CHALLENGE+G91*PV_WIN</f>
        <v>70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8">
        <v>4.0</v>
      </c>
      <c r="F92" s="18">
        <v>1.0</v>
      </c>
      <c r="G92" s="19">
        <v>0.0</v>
      </c>
      <c r="H92" s="6">
        <f>E92*PV_SESSION+F92*PV_CHALLENGE+G92*PV_WIN</f>
        <v>40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8">
        <v>4.0</v>
      </c>
      <c r="F93" s="19">
        <v>0.0</v>
      </c>
      <c r="G93" s="19">
        <v>0.0</v>
      </c>
      <c r="H93" s="6">
        <f>E93*PV_SESSION+F93*PV_CHALLENGE+G93*PV_WIN</f>
        <v>20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8">
        <v>4.0</v>
      </c>
      <c r="F94" s="19">
        <v>0.0</v>
      </c>
      <c r="G94" s="19">
        <v>0.0</v>
      </c>
      <c r="H94" s="6">
        <f>E94*PV_SESSION+F94*PV_CHALLENGE+G94*PV_WIN</f>
        <v>20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4.0</v>
      </c>
      <c r="F98" s="18">
        <v>1.0</v>
      </c>
      <c r="G98" s="19">
        <v>0.0</v>
      </c>
      <c r="H98" s="6">
        <f>E98*PV_SESSION+F98*PV_CHALLENGE+G98*PV_WIN</f>
        <v>40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4.0</v>
      </c>
      <c r="F99" s="18">
        <v>1.0</v>
      </c>
      <c r="G99" s="19">
        <v>0.0</v>
      </c>
      <c r="H99" s="6">
        <f>E99*PV_SESSION+F99*PV_CHALLENGE+G99*PV_WIN</f>
        <v>40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4.0</v>
      </c>
      <c r="F100" s="18">
        <v>1.0</v>
      </c>
      <c r="G100" s="18">
        <v>1.0</v>
      </c>
      <c r="H100" s="6">
        <f>E100*PV_SESSION+F100*PV_CHALLENGE+G100*PV_WIN</f>
        <v>70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8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4.0</v>
      </c>
      <c r="F114" s="18">
        <v>1.0</v>
      </c>
      <c r="G114" s="19">
        <v>0.0</v>
      </c>
      <c r="H114" s="6">
        <f>E114*PV_SESSION+F114*PV_CHALLENGE+G114*PV_WIN</f>
        <v>40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4.0</v>
      </c>
      <c r="F115" s="18">
        <v>1.0</v>
      </c>
      <c r="G115" s="19">
        <v>0.0</v>
      </c>
      <c r="H115" s="6">
        <f>E115*PV_SESSION+F115*PV_CHALLENGE+G115*PV_WIN</f>
        <v>40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4.0</v>
      </c>
      <c r="F116" s="18">
        <v>1.0</v>
      </c>
      <c r="G116" s="18">
        <v>1.0</v>
      </c>
      <c r="H116" s="6">
        <f>E116*PV_SESSION+F116*PV_CHALLENGE+G116*PV_WIN</f>
        <v>70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8">
        <v>4.0</v>
      </c>
      <c r="F117" s="18">
        <v>1.0</v>
      </c>
      <c r="G117" s="19">
        <v>0.0</v>
      </c>
      <c r="H117" s="6">
        <f>E117*PV_SESSION+F117*PV_CHALLENGE+G117*PV_WIN</f>
        <v>40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2.0</v>
      </c>
      <c r="F118" s="18">
        <v>1.0</v>
      </c>
      <c r="G118" s="19">
        <v>0.0</v>
      </c>
      <c r="H118" s="6">
        <f>E118*PV_SESSION+F118*PV_CHALLENGE+G118*PV_WIN</f>
        <v>30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3.0</v>
      </c>
      <c r="F119" s="19">
        <v>0.0</v>
      </c>
      <c r="G119" s="19">
        <v>0.0</v>
      </c>
      <c r="H119" s="6">
        <f>E119*PV_SESSION+F119*PV_CHALLENGE+G119*PV_WIN</f>
        <v>15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8">
        <v>3.0</v>
      </c>
      <c r="F127" s="19">
        <v>0.0</v>
      </c>
      <c r="G127" s="19">
        <v>0.0</v>
      </c>
      <c r="H127" s="6">
        <f>E127*PV_SESSION+F127*PV_CHALLENGE+G127*PV_WIN</f>
        <v>15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8">
        <v>4.0</v>
      </c>
      <c r="F131" s="18">
        <v>1.0</v>
      </c>
      <c r="G131" s="19">
        <v>0.0</v>
      </c>
      <c r="H131" s="6">
        <f>E131*PV_SESSION+F131*PV_CHALLENGE+G131*PV_WIN</f>
        <v>40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8">
        <v>1.0</v>
      </c>
      <c r="F132" s="19">
        <v>0.0</v>
      </c>
      <c r="G132" s="19">
        <v>0.0</v>
      </c>
      <c r="H132" s="6">
        <f>E132*PV_SESSION+F132*PV_CHALLENGE+G132*PV_WIN</f>
        <v>5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4.0</v>
      </c>
      <c r="F140" s="18">
        <v>1.0</v>
      </c>
      <c r="G140" s="18">
        <v>1.0</v>
      </c>
      <c r="H140" s="6">
        <f>E140*PV_SESSION+F140*PV_CHALLENGE+G140*PV_WIN</f>
        <v>70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4.0</v>
      </c>
      <c r="F141" s="18">
        <v>1.0</v>
      </c>
      <c r="G141" s="18">
        <v>1.0</v>
      </c>
      <c r="H141" s="6">
        <f>E141*PV_SESSION+F141*PV_CHALLENGE+G141*PV_WIN</f>
        <v>70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8">
        <v>1.0</v>
      </c>
      <c r="G156" s="19">
        <v>0.0</v>
      </c>
      <c r="H156" s="6">
        <f>E156*PV_SESSION+F156*PV_CHALLENGE+G156*PV_WIN</f>
        <v>20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17" t="s">
        <v>275</v>
      </c>
      <c r="C161" s="7" t="s">
        <v>437</v>
      </c>
      <c r="D161" s="7" t="s">
        <v>279</v>
      </c>
      <c r="E161" s="18">
        <v>2.0</v>
      </c>
      <c r="F161" s="19">
        <v>0.0</v>
      </c>
      <c r="G161" s="19">
        <v>0.0</v>
      </c>
      <c r="H161" s="6">
        <f>E161*PV_SESSION+F161*PV_CHALLENGE+G161*PV_WIN</f>
        <v>10</v>
      </c>
    </row>
    <row r="162" ht="15.75" customHeight="1">
      <c r="A162" s="7" t="s">
        <v>229</v>
      </c>
      <c r="B162" s="17" t="s">
        <v>275</v>
      </c>
      <c r="C162" s="7" t="s">
        <v>438</v>
      </c>
      <c r="D162" s="7" t="s">
        <v>281</v>
      </c>
      <c r="E162" s="18">
        <v>2.0</v>
      </c>
      <c r="F162" s="19">
        <v>0.0</v>
      </c>
      <c r="G162" s="19">
        <v>0.0</v>
      </c>
      <c r="H162" s="6">
        <f>E162*PV_SESSION+F162*PV_CHALLENGE+G162*PV_WIN</f>
        <v>10</v>
      </c>
    </row>
    <row r="163" ht="15.75" customHeight="1">
      <c r="A163" s="7" t="s">
        <v>229</v>
      </c>
      <c r="B163" s="17" t="s">
        <v>275</v>
      </c>
      <c r="C163" s="7" t="s">
        <v>439</v>
      </c>
      <c r="D163" s="7" t="s">
        <v>281</v>
      </c>
      <c r="E163" s="18">
        <v>2.0</v>
      </c>
      <c r="F163" s="19">
        <v>0.0</v>
      </c>
      <c r="G163" s="19">
        <v>0.0</v>
      </c>
      <c r="H163" s="6">
        <f>E163*PV_SESSION+F163*PV_CHALLENGE+G163*PV_WIN</f>
        <v>10</v>
      </c>
    </row>
    <row r="164" ht="15.75" customHeight="1">
      <c r="A164" s="7" t="s">
        <v>229</v>
      </c>
      <c r="B164" s="17" t="s">
        <v>275</v>
      </c>
      <c r="C164" s="7" t="s">
        <v>440</v>
      </c>
      <c r="D164" s="7" t="s">
        <v>281</v>
      </c>
      <c r="E164" s="18">
        <v>2.0</v>
      </c>
      <c r="F164" s="19">
        <v>0.0</v>
      </c>
      <c r="G164" s="19">
        <v>0.0</v>
      </c>
      <c r="H164" s="6">
        <f>E164*PV_SESSION+F164*PV_CHALLENGE+G164*PV_WIN</f>
        <v>10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4.0</v>
      </c>
      <c r="F167" s="19">
        <v>0.0</v>
      </c>
      <c r="G167" s="19">
        <v>0.0</v>
      </c>
      <c r="H167" s="6">
        <f>E167*PV_SESSION+F167*PV_CHALLENGE+G167*PV_WIN</f>
        <v>20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4.0</v>
      </c>
      <c r="F168" s="18">
        <v>1.0</v>
      </c>
      <c r="G168" s="19">
        <v>0.0</v>
      </c>
      <c r="H168" s="6">
        <f>E168*PV_SESSION+F168*PV_CHALLENGE+G168*PV_WIN</f>
        <v>40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4.0</v>
      </c>
      <c r="F169" s="18">
        <v>1.0</v>
      </c>
      <c r="G169" s="19">
        <v>0.0</v>
      </c>
      <c r="H169" s="6">
        <f>E169*PV_SESSION+F169*PV_CHALLENGE+G169*PV_WIN</f>
        <v>40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4.0</v>
      </c>
      <c r="F170" s="18">
        <v>1.0</v>
      </c>
      <c r="G170" s="19">
        <v>0.0</v>
      </c>
      <c r="H170" s="6">
        <f>E170*PV_SESSION+F170*PV_CHALLENGE+G170*PV_WIN</f>
        <v>40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4.0</v>
      </c>
      <c r="F171" s="18">
        <v>1.0</v>
      </c>
      <c r="G171" s="18">
        <v>1.0</v>
      </c>
      <c r="H171" s="6">
        <f>E171*PV_SESSION+F171*PV_CHALLENGE+G171*PV_WIN</f>
        <v>70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4.0</v>
      </c>
      <c r="F172" s="19">
        <v>0.0</v>
      </c>
      <c r="G172" s="19">
        <v>0.0</v>
      </c>
      <c r="H172" s="6">
        <f>E172*PV_SESSION+F172*PV_CHALLENGE+G172*PV_WIN</f>
        <v>20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8">
        <v>4.0</v>
      </c>
      <c r="F175" s="19">
        <v>0.0</v>
      </c>
      <c r="G175" s="19">
        <v>0.0</v>
      </c>
      <c r="H175" s="6">
        <f>E175*PV_SESSION+F175*PV_CHALLENGE+G175*PV_WIN</f>
        <v>20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4.0</v>
      </c>
      <c r="F176" s="18">
        <v>1.0</v>
      </c>
      <c r="G176" s="19">
        <v>0.0</v>
      </c>
      <c r="H176" s="6">
        <f>E176*PV_SESSION+F176*PV_CHALLENGE+G176*PV_WIN</f>
        <v>40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4.0</v>
      </c>
      <c r="F179" s="18">
        <v>1.0</v>
      </c>
      <c r="G179" s="19">
        <v>0.0</v>
      </c>
      <c r="H179" s="6">
        <f>E179*PV_SESSION+F179*PV_CHALLENGE+G179*PV_WIN</f>
        <v>40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4.0</v>
      </c>
      <c r="F180" s="19">
        <v>0.0</v>
      </c>
      <c r="G180" s="19">
        <v>0.0</v>
      </c>
      <c r="H180" s="6">
        <f>E180*PV_SESSION+F180*PV_CHALLENGE+G180*PV_WIN</f>
        <v>20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4.0</v>
      </c>
      <c r="F181" s="18">
        <v>1.0</v>
      </c>
      <c r="G181" s="19">
        <v>0.0</v>
      </c>
      <c r="H181" s="6">
        <f>E181*PV_SESSION+F181*PV_CHALLENGE+G181*PV_WIN</f>
        <v>40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4.0</v>
      </c>
      <c r="F182" s="18">
        <v>1.0</v>
      </c>
      <c r="G182" s="19">
        <v>0.0</v>
      </c>
      <c r="H182" s="6">
        <f>E182*PV_SESSION+F182*PV_CHALLENGE+G182*PV_WIN</f>
        <v>40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4.0</v>
      </c>
      <c r="F184" s="18">
        <v>1.0</v>
      </c>
      <c r="G184" s="19">
        <v>0.0</v>
      </c>
      <c r="H184" s="6">
        <f>E184*PV_SESSION+F184*PV_CHALLENGE+G184*PV_WIN</f>
        <v>40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4.0</v>
      </c>
      <c r="F185" s="19">
        <v>0.0</v>
      </c>
      <c r="G185" s="19">
        <v>0.0</v>
      </c>
      <c r="H185" s="6">
        <f>E185*PV_SESSION+F185*PV_CHALLENGE+G185*PV_WIN</f>
        <v>20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4.0</v>
      </c>
      <c r="F186" s="18">
        <v>1.0</v>
      </c>
      <c r="G186" s="19">
        <v>0.0</v>
      </c>
      <c r="H186" s="6">
        <f>E186*PV_SESSION+F186*PV_CHALLENGE+G186*PV_WIN</f>
        <v>40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4.0</v>
      </c>
      <c r="F187" s="19">
        <v>0.0</v>
      </c>
      <c r="G187" s="19">
        <v>0.0</v>
      </c>
      <c r="H187" s="6">
        <f>E187*PV_SESSION+F187*PV_CHALLENGE+G187*PV_WIN</f>
        <v>20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8">
        <v>4.0</v>
      </c>
      <c r="F190" s="18">
        <v>1.0</v>
      </c>
      <c r="G190" s="19">
        <v>0.0</v>
      </c>
      <c r="H190" s="6">
        <f>E190*PV_SESSION+F190*PV_CHALLENGE+G190*PV_WIN</f>
        <v>40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8">
        <v>4.0</v>
      </c>
      <c r="F191" s="18">
        <v>1.0</v>
      </c>
      <c r="G191" s="19">
        <v>0.0</v>
      </c>
      <c r="H191" s="6">
        <f>E191*PV_SESSION+F191*PV_CHALLENGE+G191*PV_WIN</f>
        <v>40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8">
        <v>4.0</v>
      </c>
      <c r="F192" s="18">
        <v>1.0</v>
      </c>
      <c r="G192" s="19">
        <v>0.0</v>
      </c>
      <c r="H192" s="6">
        <f>E192*PV_SESSION+F192*PV_CHALLENGE+G192*PV_WIN</f>
        <v>40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8">
        <v>1.0</v>
      </c>
      <c r="G193" s="19">
        <v>0.0</v>
      </c>
      <c r="H193" s="6">
        <f>E193*PV_SESSION+F193*PV_CHALLENGE+G193*PV_WIN</f>
        <v>20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8">
        <v>3.0</v>
      </c>
      <c r="F200" s="18">
        <v>1.0</v>
      </c>
      <c r="G200" s="19">
        <v>0.0</v>
      </c>
      <c r="H200" s="6">
        <f>E200*PV_SESSION+F200*PV_CHALLENGE+G200*PV_WIN</f>
        <v>35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4.0</v>
      </c>
      <c r="F206" s="18">
        <v>1.0</v>
      </c>
      <c r="G206" s="19">
        <v>0.0</v>
      </c>
      <c r="H206" s="6">
        <f>E206*PV_SESSION+F206*PV_CHALLENGE+G206*PV_WIN</f>
        <v>40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8">
        <v>4.0</v>
      </c>
      <c r="F207" s="18">
        <v>1.0</v>
      </c>
      <c r="G207" s="19">
        <v>0.0</v>
      </c>
      <c r="H207" s="6">
        <f>E207*PV_SESSION+F207*PV_CHALLENGE+G207*PV_WIN</f>
        <v>40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8">
        <v>4.0</v>
      </c>
      <c r="F208" s="19">
        <v>0.0</v>
      </c>
      <c r="G208" s="19">
        <v>0.0</v>
      </c>
      <c r="H208" s="6">
        <f>E208*PV_SESSION+F208*PV_CHALLENGE+G208*PV_WIN</f>
        <v>20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8">
        <v>4.0</v>
      </c>
      <c r="F209" s="19">
        <v>0.0</v>
      </c>
      <c r="G209" s="19">
        <v>0.0</v>
      </c>
      <c r="H209" s="6">
        <f>E209*PV_SESSION+F209*PV_CHALLENGE+G209*PV_WIN</f>
        <v>20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4.0</v>
      </c>
      <c r="F212" s="19">
        <v>0.0</v>
      </c>
      <c r="G212" s="19">
        <v>0.0</v>
      </c>
      <c r="H212" s="6">
        <f>E212*PV_SESSION+F212*PV_CHALLENGE+G212*PV_WIN</f>
        <v>20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4.0</v>
      </c>
      <c r="F213" s="18">
        <v>1.0</v>
      </c>
      <c r="G213" s="19">
        <v>0.0</v>
      </c>
      <c r="H213" s="6">
        <f>E213*PV_SESSION+F213*PV_CHALLENGE+G213*PV_WIN</f>
        <v>40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2.0</v>
      </c>
      <c r="F214" s="18">
        <v>1.0</v>
      </c>
      <c r="G214" s="19">
        <v>0.0</v>
      </c>
      <c r="H214" s="6">
        <f>E214*PV_SESSION+F214*PV_CHALLENGE+G214*PV_WIN</f>
        <v>30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2.0</v>
      </c>
      <c r="F216" s="18">
        <v>1.0</v>
      </c>
      <c r="G216" s="19">
        <v>0.0</v>
      </c>
      <c r="H216" s="6">
        <f>E216*PV_SESSION+F216*PV_CHALLENGE+G216*PV_WIN</f>
        <v>30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1.0</v>
      </c>
      <c r="F217" s="19">
        <v>0.0</v>
      </c>
      <c r="G217" s="19">
        <v>0.0</v>
      </c>
      <c r="H217" s="6">
        <f>E217*PV_SESSION+F217*PV_CHALLENGE+G217*PV_WIN</f>
        <v>5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20" t="s">
        <v>494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0.0</v>
      </c>
      <c r="F3" s="18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8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0.0</v>
      </c>
      <c r="F5" s="18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8">
        <v>0.0</v>
      </c>
      <c r="F8" s="18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8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0.0</v>
      </c>
      <c r="F10" s="18">
        <v>0.0</v>
      </c>
      <c r="G10" s="18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0.0</v>
      </c>
      <c r="F11" s="18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8">
        <v>0.0</v>
      </c>
      <c r="F12" s="18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8">
        <v>0.0</v>
      </c>
      <c r="F13" s="18">
        <v>0.0</v>
      </c>
      <c r="G13" s="18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8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8">
        <v>0.0</v>
      </c>
      <c r="F15" s="18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0.0</v>
      </c>
      <c r="F16" s="18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0.0</v>
      </c>
      <c r="F18" s="18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8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8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8">
        <v>0.0</v>
      </c>
      <c r="F21" s="18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8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8">
        <v>0.0</v>
      </c>
      <c r="F23" s="18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8">
        <v>0.0</v>
      </c>
      <c r="F24" s="18">
        <v>0.0</v>
      </c>
      <c r="G24" s="18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8">
        <v>0.0</v>
      </c>
      <c r="F25" s="18">
        <v>0.0</v>
      </c>
      <c r="G25" s="18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8">
        <v>0.0</v>
      </c>
      <c r="F26" s="18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8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8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0.0</v>
      </c>
      <c r="F31" s="18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0.0</v>
      </c>
      <c r="F32" s="18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8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8">
        <v>0.0</v>
      </c>
      <c r="G34" s="18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8">
        <v>0.0</v>
      </c>
      <c r="F35" s="18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8">
        <v>0.0</v>
      </c>
      <c r="F36" s="18">
        <v>0.0</v>
      </c>
      <c r="G36" s="18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8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8">
        <v>0.0</v>
      </c>
      <c r="F38" s="18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8">
        <v>0.0</v>
      </c>
      <c r="F39" s="18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0.0</v>
      </c>
      <c r="F40" s="18">
        <v>0.0</v>
      </c>
      <c r="G40" s="18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0.0</v>
      </c>
      <c r="F42" s="18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8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8">
        <v>0.0</v>
      </c>
      <c r="F44" s="18">
        <v>0.0</v>
      </c>
      <c r="G44" s="18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8">
        <v>0.0</v>
      </c>
      <c r="F45" s="18">
        <v>0.0</v>
      </c>
      <c r="G45" s="18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8">
        <v>0.0</v>
      </c>
      <c r="F46" s="18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8">
        <v>0.0</v>
      </c>
      <c r="F47" s="18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8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8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8">
        <v>0.0</v>
      </c>
      <c r="F50" s="18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0.0</v>
      </c>
      <c r="F52" s="18">
        <v>0.0</v>
      </c>
      <c r="G52" s="18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8">
        <v>0.0</v>
      </c>
      <c r="F54" s="18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8">
        <v>0.0</v>
      </c>
      <c r="F55" s="18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8">
        <v>0.0</v>
      </c>
      <c r="F56" s="18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8">
        <v>0.0</v>
      </c>
      <c r="F57" s="18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8">
        <v>0.0</v>
      </c>
      <c r="F58" s="19">
        <v>0.0</v>
      </c>
      <c r="G58" s="18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8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8">
        <v>0.0</v>
      </c>
      <c r="F60" s="18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8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8">
        <v>0.0</v>
      </c>
      <c r="F62" s="18">
        <v>0.0</v>
      </c>
      <c r="G62" s="18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8">
        <v>0.0</v>
      </c>
      <c r="F63" s="18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8">
        <v>0.0</v>
      </c>
      <c r="F64" s="18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8">
        <v>0.0</v>
      </c>
      <c r="F65" s="18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0.0</v>
      </c>
      <c r="F66" s="18">
        <v>0.0</v>
      </c>
      <c r="G66" s="18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0.0</v>
      </c>
      <c r="F67" s="18">
        <v>0.0</v>
      </c>
      <c r="G67" s="18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8">
        <v>0.0</v>
      </c>
      <c r="F68" s="18">
        <v>0.0</v>
      </c>
      <c r="G68" s="18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8">
        <v>0.0</v>
      </c>
      <c r="F71" s="18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8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8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8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8">
        <v>0.0</v>
      </c>
      <c r="F76" s="18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8">
        <v>0.0</v>
      </c>
      <c r="F78" s="18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8">
        <v>0.0</v>
      </c>
      <c r="F79" s="18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8">
        <v>0.0</v>
      </c>
      <c r="F80" s="18">
        <v>0.0</v>
      </c>
      <c r="G80" s="18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8">
        <v>0.0</v>
      </c>
      <c r="F82" s="18">
        <v>0.0</v>
      </c>
      <c r="G82" s="18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0.0</v>
      </c>
      <c r="F83" s="18">
        <v>0.0</v>
      </c>
      <c r="G83" s="18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8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8">
        <v>0.0</v>
      </c>
      <c r="G85" s="18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8">
        <v>0.0</v>
      </c>
      <c r="F86" s="18">
        <v>0.0</v>
      </c>
      <c r="G86" s="18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8">
        <v>0.0</v>
      </c>
      <c r="F87" s="18">
        <v>0.0</v>
      </c>
      <c r="G87" s="18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8">
        <v>0.0</v>
      </c>
      <c r="F88" s="18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8">
        <v>0.0</v>
      </c>
      <c r="F89" s="18">
        <v>0.0</v>
      </c>
      <c r="G89" s="18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0.0</v>
      </c>
      <c r="F90" s="18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0.0</v>
      </c>
      <c r="F91" s="18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8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8">
        <v>0.0</v>
      </c>
      <c r="F93" s="18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8">
        <v>0.0</v>
      </c>
      <c r="F94" s="18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8">
        <v>0.0</v>
      </c>
      <c r="F95" s="18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8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8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0.0</v>
      </c>
      <c r="F98" s="18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0.0</v>
      </c>
      <c r="F99" s="18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0.0</v>
      </c>
      <c r="F100" s="18">
        <v>0.0</v>
      </c>
      <c r="G100" s="18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8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8">
        <v>0.0</v>
      </c>
      <c r="G102" s="18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8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8">
        <v>0.0</v>
      </c>
      <c r="F104" s="18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8">
        <v>0.0</v>
      </c>
      <c r="F105" s="18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8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8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8">
        <v>0.0</v>
      </c>
      <c r="F108" s="18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8">
        <v>0.0</v>
      </c>
      <c r="F109" s="18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8">
        <v>0.0</v>
      </c>
      <c r="F110" s="18">
        <v>0.0</v>
      </c>
      <c r="G110" s="18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8">
        <v>0.0</v>
      </c>
      <c r="F111" s="18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8">
        <v>0.0</v>
      </c>
      <c r="F112" s="18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8">
        <v>0.0</v>
      </c>
      <c r="F113" s="18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0.0</v>
      </c>
      <c r="F114" s="18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0.0</v>
      </c>
      <c r="F116" s="18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8">
        <v>0.0</v>
      </c>
      <c r="G117" s="18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0.0</v>
      </c>
      <c r="F118" s="18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0.0</v>
      </c>
      <c r="F119" s="18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8">
        <v>0.0</v>
      </c>
      <c r="F120" s="19">
        <v>0.0</v>
      </c>
      <c r="G120" s="18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8">
        <v>0.0</v>
      </c>
      <c r="F122" s="18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8">
        <v>0.0</v>
      </c>
      <c r="F123" s="18">
        <v>0.0</v>
      </c>
      <c r="G123" s="18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8">
        <v>0.0</v>
      </c>
      <c r="F124" s="18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8">
        <v>0.0</v>
      </c>
      <c r="F125" s="18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8">
        <v>0.0</v>
      </c>
      <c r="F127" s="18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8">
        <v>0.0</v>
      </c>
      <c r="F128" s="18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8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8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8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8">
        <v>0.0</v>
      </c>
      <c r="F132" s="18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8">
        <v>0.0</v>
      </c>
      <c r="F133" s="18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8">
        <v>0.0</v>
      </c>
      <c r="F134" s="18">
        <v>0.0</v>
      </c>
      <c r="G134" s="18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8">
        <v>0.0</v>
      </c>
      <c r="F135" s="18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8">
        <v>0.0</v>
      </c>
      <c r="G136" s="18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8">
        <v>0.0</v>
      </c>
      <c r="F137" s="18">
        <v>0.0</v>
      </c>
      <c r="G137" s="18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8">
        <v>0.0</v>
      </c>
      <c r="F138" s="18">
        <v>0.0</v>
      </c>
      <c r="G138" s="18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8">
        <v>0.0</v>
      </c>
      <c r="F139" s="19">
        <v>0.0</v>
      </c>
      <c r="G139" s="18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0.0</v>
      </c>
      <c r="F140" s="18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0.0</v>
      </c>
      <c r="F141" s="18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8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8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8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8">
        <v>0.0</v>
      </c>
      <c r="F145" s="18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8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8">
        <v>0.0</v>
      </c>
      <c r="F147" s="18">
        <v>0.0</v>
      </c>
      <c r="G147" s="18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8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8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8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8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8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8">
        <v>0.0</v>
      </c>
      <c r="F153" s="18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8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8">
        <v>0.0</v>
      </c>
      <c r="F155" s="18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8">
        <v>0.0</v>
      </c>
      <c r="F156" s="18">
        <v>0.0</v>
      </c>
      <c r="G156" s="18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8">
        <v>0.0</v>
      </c>
      <c r="F157" s="18">
        <v>0.0</v>
      </c>
      <c r="G157" s="18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8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8">
        <v>0.0</v>
      </c>
      <c r="F159" s="18">
        <v>0.0</v>
      </c>
      <c r="G159" s="18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8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8">
        <v>0.0</v>
      </c>
      <c r="F161" s="18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8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8">
        <v>0.0</v>
      </c>
      <c r="F163" s="18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8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8">
        <v>0.0</v>
      </c>
      <c r="F165" s="19">
        <v>0.0</v>
      </c>
      <c r="G165" s="18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8">
        <v>0.0</v>
      </c>
      <c r="F166" s="18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0.0</v>
      </c>
      <c r="F169" s="18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0.0</v>
      </c>
      <c r="F170" s="18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8">
        <v>0.0</v>
      </c>
      <c r="F173" s="18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8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8">
        <v>0.0</v>
      </c>
      <c r="F175" s="18">
        <v>0.0</v>
      </c>
      <c r="G175" s="18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0.0</v>
      </c>
      <c r="F176" s="18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8">
        <v>0.0</v>
      </c>
      <c r="F177" s="19">
        <v>0.0</v>
      </c>
      <c r="G177" s="18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8">
        <v>0.0</v>
      </c>
      <c r="F178" s="18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0.0</v>
      </c>
      <c r="F179" s="18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0.0</v>
      </c>
      <c r="F180" s="18">
        <v>0.0</v>
      </c>
      <c r="G180" s="18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0.0</v>
      </c>
      <c r="F181" s="18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0.0</v>
      </c>
      <c r="F182" s="18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8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0.0</v>
      </c>
      <c r="F186" s="18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8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8">
        <v>0.0</v>
      </c>
      <c r="F189" s="18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8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8">
        <v>0.0</v>
      </c>
      <c r="F191" s="18">
        <v>0.0</v>
      </c>
      <c r="G191" s="18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8">
        <v>0.0</v>
      </c>
      <c r="F192" s="18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8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8">
        <v>0.0</v>
      </c>
      <c r="F194" s="18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8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8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8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8">
        <v>0.0</v>
      </c>
      <c r="F198" s="18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8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8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8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8">
        <v>0.0</v>
      </c>
      <c r="F202" s="18">
        <v>0.0</v>
      </c>
      <c r="G202" s="18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8">
        <v>0.0</v>
      </c>
      <c r="F203" s="18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8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8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8">
        <v>0.0</v>
      </c>
      <c r="F208" s="18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8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8">
        <v>0.0</v>
      </c>
      <c r="F210" s="18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8">
        <v>0.0</v>
      </c>
      <c r="F211" s="18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0.0</v>
      </c>
      <c r="F214" s="18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0.0</v>
      </c>
      <c r="F215" s="18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0.0</v>
      </c>
      <c r="F217" s="18">
        <v>0.0</v>
      </c>
      <c r="G217" s="18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>
        <v>0.0</v>
      </c>
      <c r="F2" s="18">
        <v>1.0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45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8">
        <v>1.0</v>
      </c>
      <c r="F3" s="18">
        <v>1.0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55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9">
        <v>0.0</v>
      </c>
      <c r="E8" s="19">
        <v>0.0</v>
      </c>
      <c r="F8" s="18">
        <v>1.0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30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>
        <v>0.0</v>
      </c>
      <c r="F12" s="18">
        <v>1.0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45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9">
        <v>0.0</v>
      </c>
      <c r="E16" s="19">
        <v>0.0</v>
      </c>
      <c r="F16" s="18">
        <v>1.0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30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1.0</v>
      </c>
      <c r="D20" s="18">
        <v>1.0</v>
      </c>
      <c r="E20" s="19">
        <v>0.0</v>
      </c>
      <c r="F20" s="18">
        <v>1.0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45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9">
        <v>0.0</v>
      </c>
      <c r="F30" s="18">
        <v>1.0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45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9">
        <v>0.0</v>
      </c>
      <c r="E39" s="19">
        <v>0.0</v>
      </c>
      <c r="F39" s="18">
        <v>1.0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30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>
        <v>0.0</v>
      </c>
      <c r="F43" s="18">
        <v>1.0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45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8">
        <v>1.0</v>
      </c>
      <c r="F47" s="18">
        <v>1.0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55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21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>
        <v>0.0</v>
      </c>
      <c r="F53" s="18">
        <v>2.0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65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8">
        <v>1.0</v>
      </c>
      <c r="F54" s="18">
        <v>1.0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55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1.0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10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1.0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10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1.0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10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17" t="s">
        <v>275</v>
      </c>
      <c r="C75" s="18">
        <v>1.0</v>
      </c>
      <c r="D75" s="18">
        <v>1.0</v>
      </c>
      <c r="E75" s="19">
        <v>0.0</v>
      </c>
      <c r="F75" s="18">
        <v>1.0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45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>
        <v>0.0</v>
      </c>
      <c r="F78" s="18">
        <v>2.0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65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>
        <v>0.0</v>
      </c>
      <c r="F79" s="17">
        <v>1.0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45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>
        <v>0.0</v>
      </c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45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>
        <v>0.0</v>
      </c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45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1.0</v>
      </c>
      <c r="D87" s="18">
        <v>1.0</v>
      </c>
      <c r="E87" s="19">
        <v>0.0</v>
      </c>
      <c r="F87" s="18">
        <v>1.0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45</v>
      </c>
    </row>
    <row r="88" ht="15.75" customHeight="1">
      <c r="A88" s="7" t="s">
        <v>256</v>
      </c>
      <c r="B88" s="7" t="s">
        <v>257</v>
      </c>
      <c r="C88" s="18">
        <v>1.0</v>
      </c>
      <c r="D88" s="19">
        <v>0.0</v>
      </c>
      <c r="E88" s="19">
        <v>0.0</v>
      </c>
      <c r="F88" s="18">
        <v>1.0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30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>
        <v>0.0</v>
      </c>
      <c r="F93" s="18">
        <v>2.0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65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>
        <v>0.0</v>
      </c>
      <c r="F95" s="18">
        <v>1.0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45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8">
        <v>3.0</v>
      </c>
      <c r="F2" s="18">
        <v>2.0</v>
      </c>
      <c r="G2" s="19">
        <v>0.0</v>
      </c>
      <c r="H2" s="18">
        <v>1.0</v>
      </c>
      <c r="I2" s="19">
        <v>0.0</v>
      </c>
      <c r="J2" s="19">
        <v>0.0</v>
      </c>
      <c r="K2" s="6">
        <f>C2*PV_UPDATE+D2*PV_DEPLOY+E2*PV_HELP+F2*PV_BLOG+G2*PV_PR+H2*PV_BUILDNIGHT+I2*PV_MENTOR+J2*PV_DEMO</f>
        <v>110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8">
        <v>2.0</v>
      </c>
      <c r="F3" s="18">
        <v>2.0</v>
      </c>
      <c r="G3" s="18">
        <v>1.0</v>
      </c>
      <c r="H3" s="18">
        <v>1.0</v>
      </c>
      <c r="I3" s="19">
        <v>0.0</v>
      </c>
      <c r="J3" s="19">
        <v>0.0</v>
      </c>
      <c r="K3" s="6">
        <f>C3*PV_UPDATE+D3*PV_DEPLOY+E3*PV_HELP+F3*PV_BLOG+G3*PV_PR+H3*PV_BUILDNIGHT+I3*PV_MENTOR+J3*PV_DEMO</f>
        <v>125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8">
        <v>1.0</v>
      </c>
      <c r="E8" s="18">
        <v>1.0</v>
      </c>
      <c r="F8" s="18">
        <v>2.0</v>
      </c>
      <c r="G8" s="19">
        <v>0.0</v>
      </c>
      <c r="H8" s="18">
        <v>1.0</v>
      </c>
      <c r="I8" s="19">
        <v>0.0</v>
      </c>
      <c r="J8" s="19">
        <v>0.0</v>
      </c>
      <c r="K8" s="6">
        <f>C8*PV_UPDATE+D8*PV_DEPLOY+E8*PV_HELP+F8*PV_BLOG+G8*PV_PR+H8*PV_BUILDNIGHT+I8*PV_MENTOR+J8*PV_DEMO</f>
        <v>90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8">
        <v>2.0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40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8">
        <v>4.0</v>
      </c>
      <c r="F12" s="18">
        <v>2.0</v>
      </c>
      <c r="G12" s="19">
        <v>0.0</v>
      </c>
      <c r="H12" s="18">
        <v>1.0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120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0.0</v>
      </c>
      <c r="E16" s="19">
        <v>0.0</v>
      </c>
      <c r="F16" s="19">
        <v>0.0</v>
      </c>
      <c r="G16" s="19">
        <v>0.0</v>
      </c>
      <c r="H16" s="18">
        <v>1.0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25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8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8">
        <v>1.0</v>
      </c>
      <c r="F20" s="18">
        <v>2.0</v>
      </c>
      <c r="G20" s="18">
        <v>1.0</v>
      </c>
      <c r="H20" s="18">
        <v>1.0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90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8">
        <v>1.0</v>
      </c>
      <c r="F30" s="18">
        <v>1.0</v>
      </c>
      <c r="G30" s="18">
        <v>2.0</v>
      </c>
      <c r="H30" s="18">
        <v>1.0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120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8">
        <v>1.0</v>
      </c>
      <c r="E39" s="19">
        <v>0.0</v>
      </c>
      <c r="F39" s="18">
        <v>1.0</v>
      </c>
      <c r="G39" s="19">
        <v>0.0</v>
      </c>
      <c r="H39" s="18">
        <v>1.0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60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8">
        <v>1.0</v>
      </c>
      <c r="F43" s="19">
        <v>0.0</v>
      </c>
      <c r="G43" s="19">
        <v>0.0</v>
      </c>
      <c r="H43" s="18">
        <v>1.0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50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17" t="s">
        <v>504</v>
      </c>
      <c r="C47" s="18">
        <v>1.0</v>
      </c>
      <c r="D47" s="18">
        <v>1.0</v>
      </c>
      <c r="E47" s="19">
        <v>0.0</v>
      </c>
      <c r="F47" s="18">
        <v>2.0</v>
      </c>
      <c r="G47" s="19">
        <v>0.0</v>
      </c>
      <c r="H47" s="18">
        <v>1.0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80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>
        <v>0.0</v>
      </c>
      <c r="F53" s="18">
        <v>2.0</v>
      </c>
      <c r="G53" s="19">
        <v>0.0</v>
      </c>
      <c r="H53" s="18">
        <v>1.0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80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9">
        <v>0.0</v>
      </c>
      <c r="F54" s="18">
        <v>1.0</v>
      </c>
      <c r="G54" s="19">
        <v>0.0</v>
      </c>
      <c r="H54" s="18">
        <v>1.0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60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8">
        <v>1.0</v>
      </c>
      <c r="G64" s="19">
        <v>0.0</v>
      </c>
      <c r="H64" s="18">
        <v>1.0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35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1.0</v>
      </c>
      <c r="D68" s="18">
        <v>1.0</v>
      </c>
      <c r="E68" s="19">
        <v>0.0</v>
      </c>
      <c r="F68" s="19">
        <v>0.0</v>
      </c>
      <c r="G68" s="19">
        <v>0.0</v>
      </c>
      <c r="H68" s="18">
        <v>1.0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40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17" t="s">
        <v>275</v>
      </c>
      <c r="C75" s="18">
        <v>1.0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10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8">
        <v>1.0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15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>
        <v>0.0</v>
      </c>
      <c r="F78" s="18">
        <v>2.0</v>
      </c>
      <c r="G78" s="19">
        <v>0.0</v>
      </c>
      <c r="H78" s="18">
        <v>1.0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80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8">
        <v>1.0</v>
      </c>
      <c r="F79" s="18">
        <v>2.0</v>
      </c>
      <c r="G79" s="18">
        <v>2.0</v>
      </c>
      <c r="H79" s="18">
        <v>1.0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140</v>
      </c>
    </row>
    <row r="80" ht="15.75" customHeight="1">
      <c r="A80" s="7" t="s">
        <v>239</v>
      </c>
      <c r="B80" s="7" t="s">
        <v>240</v>
      </c>
      <c r="C80" s="19">
        <v>0.0</v>
      </c>
      <c r="D80" s="18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>
        <v>0.0</v>
      </c>
      <c r="F81" s="18">
        <v>1.0</v>
      </c>
      <c r="G81" s="19">
        <v>0.0</v>
      </c>
      <c r="H81" s="18">
        <v>1.0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60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1.0</v>
      </c>
      <c r="D83" s="18">
        <v>1.0</v>
      </c>
      <c r="E83" s="18">
        <v>1.0</v>
      </c>
      <c r="F83" s="18">
        <v>2.0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75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8">
        <v>2.0</v>
      </c>
      <c r="F85" s="18">
        <v>1.0</v>
      </c>
      <c r="G85" s="19">
        <v>0.0</v>
      </c>
      <c r="H85" s="18">
        <v>1.0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80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8">
        <v>1.0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15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8">
        <v>2.0</v>
      </c>
      <c r="F93" s="18">
        <v>1.0</v>
      </c>
      <c r="G93" s="19">
        <v>0.0</v>
      </c>
      <c r="H93" s="18">
        <v>1.0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80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8">
        <v>1.0</v>
      </c>
      <c r="F95" s="19">
        <v>0.0</v>
      </c>
      <c r="G95" s="19">
        <v>0.0</v>
      </c>
      <c r="H95" s="18">
        <v>1.0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50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8">
        <v>0.0</v>
      </c>
      <c r="D2" s="18">
        <v>0.0</v>
      </c>
      <c r="E2" s="18">
        <v>0.0</v>
      </c>
      <c r="F2" s="19">
        <v>0.0</v>
      </c>
      <c r="G2" s="19">
        <v>0.0</v>
      </c>
      <c r="H2" s="19">
        <v>0.0</v>
      </c>
      <c r="I2" s="18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8">
        <v>0.0</v>
      </c>
      <c r="D3" s="18">
        <v>0.0</v>
      </c>
      <c r="E3" s="18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8">
        <v>0.0</v>
      </c>
      <c r="D4" s="18">
        <v>0.0</v>
      </c>
      <c r="E4" s="18">
        <v>0.0</v>
      </c>
      <c r="F4" s="19">
        <v>0.0</v>
      </c>
      <c r="G4" s="19">
        <v>0.0</v>
      </c>
      <c r="H4" s="19">
        <v>0.0</v>
      </c>
      <c r="I4" s="18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8">
        <v>0.0</v>
      </c>
      <c r="D5" s="18">
        <v>0.0</v>
      </c>
      <c r="E5" s="19">
        <v>0.0</v>
      </c>
      <c r="F5" s="19">
        <v>0.0</v>
      </c>
      <c r="G5" s="19">
        <v>0.0</v>
      </c>
      <c r="H5" s="18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8">
        <v>0.0</v>
      </c>
      <c r="D6" s="18">
        <v>0.0</v>
      </c>
      <c r="E6" s="18">
        <v>0.0</v>
      </c>
      <c r="F6" s="19">
        <v>0.0</v>
      </c>
      <c r="G6" s="19">
        <v>0.0</v>
      </c>
      <c r="H6" s="18">
        <v>0.0</v>
      </c>
      <c r="I6" s="18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8">
        <v>0.0</v>
      </c>
      <c r="D7" s="18">
        <v>0.0</v>
      </c>
      <c r="E7" s="19">
        <v>0.0</v>
      </c>
      <c r="F7" s="19">
        <v>0.0</v>
      </c>
      <c r="G7" s="19">
        <v>0.0</v>
      </c>
      <c r="H7" s="18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0.0</v>
      </c>
      <c r="D8" s="18">
        <v>0.0</v>
      </c>
      <c r="E8" s="18">
        <v>0.0</v>
      </c>
      <c r="F8" s="19">
        <v>0.0</v>
      </c>
      <c r="G8" s="18">
        <v>0.0</v>
      </c>
      <c r="H8" s="18">
        <v>0.0</v>
      </c>
      <c r="I8" s="18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8">
        <v>0.0</v>
      </c>
      <c r="D9" s="18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8">
        <v>0.0</v>
      </c>
      <c r="D10" s="18">
        <v>0.0</v>
      </c>
      <c r="E10" s="18">
        <v>0.0</v>
      </c>
      <c r="F10" s="18">
        <v>0.0</v>
      </c>
      <c r="G10" s="19">
        <v>0.0</v>
      </c>
      <c r="H10" s="18">
        <v>0.0</v>
      </c>
      <c r="I10" s="18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8">
        <v>0.0</v>
      </c>
      <c r="D11" s="18">
        <v>0.0</v>
      </c>
      <c r="E11" s="19">
        <v>0.0</v>
      </c>
      <c r="F11" s="18">
        <v>0.0</v>
      </c>
      <c r="G11" s="19">
        <v>0.0</v>
      </c>
      <c r="H11" s="18">
        <v>0.0</v>
      </c>
      <c r="I11" s="18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0.0</v>
      </c>
      <c r="D12" s="18">
        <v>0.0</v>
      </c>
      <c r="E12" s="19">
        <v>0.0</v>
      </c>
      <c r="F12" s="19">
        <v>0.0</v>
      </c>
      <c r="G12" s="18">
        <v>0.0</v>
      </c>
      <c r="H12" s="18">
        <v>0.0</v>
      </c>
      <c r="I12" s="18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8">
        <v>0.0</v>
      </c>
      <c r="D13" s="18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8">
        <v>0.0</v>
      </c>
      <c r="D14" s="18">
        <v>0.0</v>
      </c>
      <c r="E14" s="19">
        <v>0.0</v>
      </c>
      <c r="F14" s="18">
        <v>0.0</v>
      </c>
      <c r="G14" s="18">
        <v>0.0</v>
      </c>
      <c r="H14" s="18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8">
        <v>0.0</v>
      </c>
      <c r="D15" s="18">
        <v>0.0</v>
      </c>
      <c r="E15" s="19">
        <v>0.0</v>
      </c>
      <c r="F15" s="18">
        <v>0.0</v>
      </c>
      <c r="G15" s="19">
        <v>0.0</v>
      </c>
      <c r="H15" s="18">
        <v>0.0</v>
      </c>
      <c r="I15" s="18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0.0</v>
      </c>
      <c r="D16" s="18">
        <v>0.0</v>
      </c>
      <c r="E16" s="19">
        <v>0.0</v>
      </c>
      <c r="F16" s="19">
        <v>0.0</v>
      </c>
      <c r="G16" s="18">
        <v>0.0</v>
      </c>
      <c r="H16" s="18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8">
        <v>0.0</v>
      </c>
      <c r="D17" s="18">
        <v>0.0</v>
      </c>
      <c r="E17" s="18">
        <v>0.0</v>
      </c>
      <c r="F17" s="19">
        <v>0.0</v>
      </c>
      <c r="G17" s="18">
        <v>0.0</v>
      </c>
      <c r="H17" s="18">
        <v>0.0</v>
      </c>
      <c r="I17" s="18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8">
        <v>0.0</v>
      </c>
      <c r="D18" s="18">
        <v>0.0</v>
      </c>
      <c r="E18" s="19">
        <v>0.0</v>
      </c>
      <c r="F18" s="19">
        <v>0.0</v>
      </c>
      <c r="G18" s="19">
        <v>0.0</v>
      </c>
      <c r="H18" s="19">
        <v>0.0</v>
      </c>
      <c r="I18" s="18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8">
        <v>0.0</v>
      </c>
      <c r="D19" s="18">
        <v>0.0</v>
      </c>
      <c r="E19" s="19">
        <v>0.0</v>
      </c>
      <c r="F19" s="19">
        <v>0.0</v>
      </c>
      <c r="G19" s="19">
        <v>0.0</v>
      </c>
      <c r="H19" s="19">
        <v>0.0</v>
      </c>
      <c r="I19" s="18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0.0</v>
      </c>
      <c r="D20" s="18">
        <v>0.0</v>
      </c>
      <c r="E20" s="19">
        <v>0.0</v>
      </c>
      <c r="F20" s="19">
        <v>0.0</v>
      </c>
      <c r="G20" s="19">
        <v>0.0</v>
      </c>
      <c r="H20" s="18">
        <v>0.0</v>
      </c>
      <c r="I20" s="18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8">
        <v>0.0</v>
      </c>
      <c r="D21" s="18">
        <v>0.0</v>
      </c>
      <c r="E21" s="18">
        <v>0.0</v>
      </c>
      <c r="F21" s="18">
        <v>0.0</v>
      </c>
      <c r="G21" s="18">
        <v>0.0</v>
      </c>
      <c r="H21" s="18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8">
        <v>0.0</v>
      </c>
      <c r="D22" s="18">
        <v>0.0</v>
      </c>
      <c r="E22" s="19">
        <v>0.0</v>
      </c>
      <c r="F22" s="18">
        <v>0.0</v>
      </c>
      <c r="G22" s="19">
        <v>0.0</v>
      </c>
      <c r="H22" s="18">
        <v>0.0</v>
      </c>
      <c r="I22" s="18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8">
        <v>0.0</v>
      </c>
      <c r="D23" s="18">
        <v>0.0</v>
      </c>
      <c r="E23" s="18">
        <v>0.0</v>
      </c>
      <c r="F23" s="19">
        <v>0.0</v>
      </c>
      <c r="G23" s="18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8">
        <v>0.0</v>
      </c>
      <c r="D24" s="18">
        <v>0.0</v>
      </c>
      <c r="E24" s="19">
        <v>0.0</v>
      </c>
      <c r="F24" s="19">
        <v>0.0</v>
      </c>
      <c r="G24" s="19">
        <v>0.0</v>
      </c>
      <c r="H24" s="18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8">
        <v>0.0</v>
      </c>
      <c r="D25" s="18">
        <v>0.0</v>
      </c>
      <c r="E25" s="19">
        <v>0.0</v>
      </c>
      <c r="F25" s="19">
        <v>0.0</v>
      </c>
      <c r="G25" s="18">
        <v>0.0</v>
      </c>
      <c r="H25" s="18">
        <v>0.0</v>
      </c>
      <c r="I25" s="18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8">
        <v>0.0</v>
      </c>
      <c r="D26" s="18">
        <v>0.0</v>
      </c>
      <c r="E26" s="19">
        <v>0.0</v>
      </c>
      <c r="F26" s="18">
        <v>0.0</v>
      </c>
      <c r="G26" s="18">
        <v>0.0</v>
      </c>
      <c r="H26" s="18">
        <v>0.0</v>
      </c>
      <c r="I26" s="18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8">
        <v>0.0</v>
      </c>
      <c r="D27" s="18">
        <v>0.0</v>
      </c>
      <c r="E27" s="19">
        <v>0.0</v>
      </c>
      <c r="F27" s="18">
        <v>0.0</v>
      </c>
      <c r="G27" s="19">
        <v>0.0</v>
      </c>
      <c r="H27" s="19">
        <v>0.0</v>
      </c>
      <c r="I27" s="18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8">
        <v>0.0</v>
      </c>
      <c r="D28" s="18">
        <v>0.0</v>
      </c>
      <c r="E28" s="18">
        <v>0.0</v>
      </c>
      <c r="F28" s="18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8">
        <v>0.0</v>
      </c>
      <c r="D29" s="18">
        <v>0.0</v>
      </c>
      <c r="E29" s="19">
        <v>0.0</v>
      </c>
      <c r="F29" s="19">
        <v>0.0</v>
      </c>
      <c r="G29" s="18">
        <v>0.0</v>
      </c>
      <c r="H29" s="18">
        <v>0.0</v>
      </c>
      <c r="I29" s="18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0.0</v>
      </c>
      <c r="D30" s="18">
        <v>0.0</v>
      </c>
      <c r="E30" s="18">
        <v>0.0</v>
      </c>
      <c r="F30" s="19">
        <v>0.0</v>
      </c>
      <c r="G30" s="19">
        <v>0.0</v>
      </c>
      <c r="H30" s="18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8">
        <v>0.0</v>
      </c>
      <c r="D31" s="18">
        <v>0.0</v>
      </c>
      <c r="E31" s="19">
        <v>0.0</v>
      </c>
      <c r="F31" s="19">
        <v>0.0</v>
      </c>
      <c r="G31" s="19">
        <v>0.0</v>
      </c>
      <c r="H31" s="18">
        <v>0.0</v>
      </c>
      <c r="I31" s="18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8">
        <v>0.0</v>
      </c>
      <c r="D32" s="18">
        <v>0.0</v>
      </c>
      <c r="E32" s="19">
        <v>0.0</v>
      </c>
      <c r="F32" s="18">
        <v>0.0</v>
      </c>
      <c r="G32" s="19">
        <v>0.0</v>
      </c>
      <c r="H32" s="18">
        <v>0.0</v>
      </c>
      <c r="I32" s="18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8">
        <v>0.0</v>
      </c>
      <c r="D33" s="18">
        <v>0.0</v>
      </c>
      <c r="E33" s="19">
        <v>0.0</v>
      </c>
      <c r="F33" s="18">
        <v>0.0</v>
      </c>
      <c r="G33" s="18">
        <v>0.0</v>
      </c>
      <c r="H33" s="18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8">
        <v>0.0</v>
      </c>
      <c r="D34" s="18">
        <v>0.0</v>
      </c>
      <c r="E34" s="18">
        <v>0.0</v>
      </c>
      <c r="F34" s="18">
        <v>0.0</v>
      </c>
      <c r="G34" s="19">
        <v>0.0</v>
      </c>
      <c r="H34" s="18">
        <v>0.0</v>
      </c>
      <c r="I34" s="18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8">
        <v>0.0</v>
      </c>
      <c r="D35" s="18">
        <v>0.0</v>
      </c>
      <c r="E35" s="19">
        <v>0.0</v>
      </c>
      <c r="F35" s="19">
        <v>0.0</v>
      </c>
      <c r="G35" s="19">
        <v>0.0</v>
      </c>
      <c r="H35" s="18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8">
        <v>0.0</v>
      </c>
      <c r="D36" s="18">
        <v>0.0</v>
      </c>
      <c r="E36" s="18">
        <v>0.0</v>
      </c>
      <c r="F36" s="19">
        <v>0.0</v>
      </c>
      <c r="G36" s="19">
        <v>0.0</v>
      </c>
      <c r="H36" s="18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8">
        <v>0.0</v>
      </c>
      <c r="D37" s="18">
        <v>0.0</v>
      </c>
      <c r="E37" s="18">
        <v>0.0</v>
      </c>
      <c r="F37" s="18">
        <v>0.0</v>
      </c>
      <c r="G37" s="18">
        <v>0.0</v>
      </c>
      <c r="H37" s="18">
        <v>0.0</v>
      </c>
      <c r="I37" s="18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8">
        <v>0.0</v>
      </c>
      <c r="D38" s="18">
        <v>0.0</v>
      </c>
      <c r="E38" s="18">
        <v>0.0</v>
      </c>
      <c r="F38" s="19">
        <v>0.0</v>
      </c>
      <c r="G38" s="19">
        <v>0.0</v>
      </c>
      <c r="H38" s="19">
        <v>0.0</v>
      </c>
      <c r="I38" s="18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0.0</v>
      </c>
      <c r="D39" s="18">
        <v>0.0</v>
      </c>
      <c r="E39" s="19">
        <v>0.0</v>
      </c>
      <c r="F39" s="19">
        <v>0.0</v>
      </c>
      <c r="G39" s="19">
        <v>0.0</v>
      </c>
      <c r="H39" s="18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8">
        <v>0.0</v>
      </c>
      <c r="D40" s="18">
        <v>0.0</v>
      </c>
      <c r="E40" s="18">
        <v>0.0</v>
      </c>
      <c r="F40" s="18">
        <v>0.0</v>
      </c>
      <c r="G40" s="19">
        <v>0.0</v>
      </c>
      <c r="H40" s="18">
        <v>0.0</v>
      </c>
      <c r="I40" s="18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8">
        <v>0.0</v>
      </c>
      <c r="D41" s="18">
        <v>0.0</v>
      </c>
      <c r="E41" s="18">
        <v>0.0</v>
      </c>
      <c r="F41" s="19">
        <v>0.0</v>
      </c>
      <c r="G41" s="19">
        <v>0.0</v>
      </c>
      <c r="H41" s="19">
        <v>0.0</v>
      </c>
      <c r="I41" s="18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8">
        <v>0.0</v>
      </c>
      <c r="D42" s="18">
        <v>0.0</v>
      </c>
      <c r="E42" s="19">
        <v>0.0</v>
      </c>
      <c r="F42" s="19">
        <v>0.0</v>
      </c>
      <c r="G42" s="18">
        <v>0.0</v>
      </c>
      <c r="H42" s="18">
        <v>0.0</v>
      </c>
      <c r="I42" s="18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0.0</v>
      </c>
      <c r="D43" s="18">
        <v>0.0</v>
      </c>
      <c r="E43" s="19">
        <v>0.0</v>
      </c>
      <c r="F43" s="18">
        <v>0.0</v>
      </c>
      <c r="G43" s="19">
        <v>0.0</v>
      </c>
      <c r="H43" s="18">
        <v>0.0</v>
      </c>
      <c r="I43" s="18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8">
        <v>0.0</v>
      </c>
      <c r="D44" s="18">
        <v>0.0</v>
      </c>
      <c r="E44" s="19">
        <v>0.0</v>
      </c>
      <c r="F44" s="18">
        <v>0.0</v>
      </c>
      <c r="G44" s="18">
        <v>0.0</v>
      </c>
      <c r="H44" s="18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8">
        <v>0.0</v>
      </c>
      <c r="D45" s="18">
        <v>0.0</v>
      </c>
      <c r="E45" s="19">
        <v>0.0</v>
      </c>
      <c r="F45" s="19">
        <v>0.0</v>
      </c>
      <c r="G45" s="19">
        <v>0.0</v>
      </c>
      <c r="H45" s="18">
        <v>0.0</v>
      </c>
      <c r="I45" s="18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8">
        <v>0.0</v>
      </c>
      <c r="D46" s="18">
        <v>0.0</v>
      </c>
      <c r="E46" s="19">
        <v>0.0</v>
      </c>
      <c r="F46" s="19">
        <v>0.0</v>
      </c>
      <c r="G46" s="19">
        <v>0.0</v>
      </c>
      <c r="H46" s="19">
        <v>0.0</v>
      </c>
      <c r="I46" s="18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0.0</v>
      </c>
      <c r="D47" s="18">
        <v>0.0</v>
      </c>
      <c r="E47" s="19">
        <v>0.0</v>
      </c>
      <c r="F47" s="19">
        <v>0.0</v>
      </c>
      <c r="G47" s="18">
        <v>0.0</v>
      </c>
      <c r="H47" s="18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8">
        <v>0.0</v>
      </c>
      <c r="D48" s="18">
        <v>0.0</v>
      </c>
      <c r="E48" s="19">
        <v>0.0</v>
      </c>
      <c r="F48" s="19">
        <v>0.0</v>
      </c>
      <c r="G48" s="18">
        <v>0.0</v>
      </c>
      <c r="H48" s="18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8">
        <v>0.0</v>
      </c>
      <c r="D49" s="18">
        <v>0.0</v>
      </c>
      <c r="E49" s="19">
        <v>0.0</v>
      </c>
      <c r="F49" s="18">
        <v>0.0</v>
      </c>
      <c r="G49" s="18">
        <v>0.0</v>
      </c>
      <c r="H49" s="18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8">
        <v>0.0</v>
      </c>
      <c r="D50" s="18">
        <v>0.0</v>
      </c>
      <c r="E50" s="19">
        <v>0.0</v>
      </c>
      <c r="F50" s="19">
        <v>0.0</v>
      </c>
      <c r="G50" s="19">
        <v>0.0</v>
      </c>
      <c r="H50" s="18">
        <v>0.0</v>
      </c>
      <c r="I50" s="18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8">
        <v>0.0</v>
      </c>
      <c r="D51" s="18">
        <v>0.0</v>
      </c>
      <c r="E51" s="19">
        <v>0.0</v>
      </c>
      <c r="F51" s="18">
        <v>0.0</v>
      </c>
      <c r="G51" s="18">
        <v>0.0</v>
      </c>
      <c r="H51" s="19">
        <v>0.0</v>
      </c>
      <c r="I51" s="18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8">
        <v>0.0</v>
      </c>
      <c r="D52" s="18">
        <v>0.0</v>
      </c>
      <c r="E52" s="18">
        <v>0.0</v>
      </c>
      <c r="F52" s="19">
        <v>0.0</v>
      </c>
      <c r="G52" s="18">
        <v>0.0</v>
      </c>
      <c r="H52" s="18">
        <v>0.0</v>
      </c>
      <c r="I52" s="18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0.0</v>
      </c>
      <c r="D53" s="18">
        <v>0.0</v>
      </c>
      <c r="E53" s="18">
        <v>0.0</v>
      </c>
      <c r="F53" s="19">
        <v>0.0</v>
      </c>
      <c r="G53" s="19">
        <v>0.0</v>
      </c>
      <c r="H53" s="18">
        <v>0.0</v>
      </c>
      <c r="I53" s="18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8">
        <v>0.0</v>
      </c>
      <c r="D54" s="18">
        <v>0.0</v>
      </c>
      <c r="E54" s="18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8">
        <v>0.0</v>
      </c>
      <c r="D55" s="18">
        <v>0.0</v>
      </c>
      <c r="E55" s="19">
        <v>0.0</v>
      </c>
      <c r="F55" s="19">
        <v>0.0</v>
      </c>
      <c r="G55" s="19">
        <v>0.0</v>
      </c>
      <c r="H55" s="18">
        <v>0.0</v>
      </c>
      <c r="I55" s="18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8">
        <v>0.0</v>
      </c>
      <c r="D56" s="18">
        <v>0.0</v>
      </c>
      <c r="E56" s="18">
        <v>0.0</v>
      </c>
      <c r="F56" s="18">
        <v>0.0</v>
      </c>
      <c r="G56" s="19">
        <v>0.0</v>
      </c>
      <c r="H56" s="18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8">
        <v>0.0</v>
      </c>
      <c r="D57" s="18">
        <v>0.0</v>
      </c>
      <c r="E57" s="19">
        <v>0.0</v>
      </c>
      <c r="F57" s="19">
        <v>0.0</v>
      </c>
      <c r="G57" s="18">
        <v>0.0</v>
      </c>
      <c r="H57" s="18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8">
        <v>0.0</v>
      </c>
      <c r="D58" s="18">
        <v>0.0</v>
      </c>
      <c r="E58" s="18">
        <v>0.0</v>
      </c>
      <c r="F58" s="18">
        <v>0.0</v>
      </c>
      <c r="G58" s="19">
        <v>0.0</v>
      </c>
      <c r="H58" s="18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8">
        <v>0.0</v>
      </c>
      <c r="D59" s="18">
        <v>0.0</v>
      </c>
      <c r="E59" s="19">
        <v>0.0</v>
      </c>
      <c r="F59" s="19">
        <v>0.0</v>
      </c>
      <c r="G59" s="19">
        <v>0.0</v>
      </c>
      <c r="H59" s="18">
        <v>0.0</v>
      </c>
      <c r="I59" s="18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8">
        <v>0.0</v>
      </c>
      <c r="D60" s="18">
        <v>0.0</v>
      </c>
      <c r="E60" s="19">
        <v>0.0</v>
      </c>
      <c r="F60" s="18">
        <v>0.0</v>
      </c>
      <c r="G60" s="19">
        <v>0.0</v>
      </c>
      <c r="H60" s="18">
        <v>0.0</v>
      </c>
      <c r="I60" s="18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8">
        <v>0.0</v>
      </c>
      <c r="D61" s="18">
        <v>0.0</v>
      </c>
      <c r="E61" s="19">
        <v>0.0</v>
      </c>
      <c r="F61" s="19">
        <v>0.0</v>
      </c>
      <c r="G61" s="19">
        <v>0.0</v>
      </c>
      <c r="H61" s="19">
        <v>0.0</v>
      </c>
      <c r="I61" s="18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8">
        <v>0.0</v>
      </c>
      <c r="D62" s="18">
        <v>0.0</v>
      </c>
      <c r="E62" s="19">
        <v>0.0</v>
      </c>
      <c r="F62" s="18">
        <v>0.0</v>
      </c>
      <c r="G62" s="19">
        <v>0.0</v>
      </c>
      <c r="H62" s="18">
        <v>0.0</v>
      </c>
      <c r="I62" s="18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8">
        <v>0.0</v>
      </c>
      <c r="D63" s="18">
        <v>0.0</v>
      </c>
      <c r="E63" s="18">
        <v>0.0</v>
      </c>
      <c r="F63" s="19">
        <v>0.0</v>
      </c>
      <c r="G63" s="19">
        <v>0.0</v>
      </c>
      <c r="H63" s="18">
        <v>0.0</v>
      </c>
      <c r="I63" s="18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8">
        <v>0.0</v>
      </c>
      <c r="D64" s="18">
        <v>0.0</v>
      </c>
      <c r="E64" s="19">
        <v>0.0</v>
      </c>
      <c r="F64" s="18">
        <v>0.0</v>
      </c>
      <c r="G64" s="19">
        <v>0.0</v>
      </c>
      <c r="H64" s="18">
        <v>0.0</v>
      </c>
      <c r="I64" s="18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0.0</v>
      </c>
      <c r="D65" s="18">
        <v>0.0</v>
      </c>
      <c r="E65" s="19">
        <v>0.0</v>
      </c>
      <c r="F65" s="18">
        <v>0.0</v>
      </c>
      <c r="G65" s="19">
        <v>0.0</v>
      </c>
      <c r="H65" s="18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8">
        <v>0.0</v>
      </c>
      <c r="D66" s="18">
        <v>0.0</v>
      </c>
      <c r="E66" s="19">
        <v>0.0</v>
      </c>
      <c r="F66" s="19">
        <v>0.0</v>
      </c>
      <c r="G66" s="19">
        <v>0.0</v>
      </c>
      <c r="H66" s="18">
        <v>0.0</v>
      </c>
      <c r="I66" s="18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8">
        <v>0.0</v>
      </c>
      <c r="D67" s="18">
        <v>0.0</v>
      </c>
      <c r="E67" s="19">
        <v>0.0</v>
      </c>
      <c r="F67" s="19">
        <v>0.0</v>
      </c>
      <c r="G67" s="18">
        <v>0.0</v>
      </c>
      <c r="H67" s="18">
        <v>0.0</v>
      </c>
      <c r="I67" s="18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0.0</v>
      </c>
      <c r="D68" s="18">
        <v>0.0</v>
      </c>
      <c r="E68" s="19">
        <v>0.0</v>
      </c>
      <c r="F68" s="19">
        <v>0.0</v>
      </c>
      <c r="G68" s="19">
        <v>0.0</v>
      </c>
      <c r="H68" s="19">
        <v>0.0</v>
      </c>
      <c r="I68" s="18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8">
        <v>0.0</v>
      </c>
      <c r="D69" s="18">
        <v>0.0</v>
      </c>
      <c r="E69" s="19">
        <v>0.0</v>
      </c>
      <c r="F69" s="18">
        <v>0.0</v>
      </c>
      <c r="G69" s="18">
        <v>0.0</v>
      </c>
      <c r="H69" s="18">
        <v>0.0</v>
      </c>
      <c r="I69" s="18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8">
        <v>0.0</v>
      </c>
      <c r="D70" s="18">
        <v>0.0</v>
      </c>
      <c r="E70" s="19">
        <v>0.0</v>
      </c>
      <c r="F70" s="19">
        <v>0.0</v>
      </c>
      <c r="G70" s="19">
        <v>0.0</v>
      </c>
      <c r="H70" s="18">
        <v>0.0</v>
      </c>
      <c r="I70" s="18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8">
        <v>0.0</v>
      </c>
      <c r="D71" s="18">
        <v>0.0</v>
      </c>
      <c r="E71" s="19">
        <v>0.0</v>
      </c>
      <c r="F71" s="19">
        <v>0.0</v>
      </c>
      <c r="G71" s="18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0.0</v>
      </c>
      <c r="D72" s="18">
        <v>0.0</v>
      </c>
      <c r="E72" s="19">
        <v>0.0</v>
      </c>
      <c r="F72" s="18">
        <v>0.0</v>
      </c>
      <c r="G72" s="19">
        <v>0.0</v>
      </c>
      <c r="H72" s="19">
        <v>0.0</v>
      </c>
      <c r="I72" s="18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8">
        <v>0.0</v>
      </c>
      <c r="D73" s="18">
        <v>0.0</v>
      </c>
      <c r="E73" s="19">
        <v>0.0</v>
      </c>
      <c r="F73" s="19">
        <v>0.0</v>
      </c>
      <c r="G73" s="19">
        <v>0.0</v>
      </c>
      <c r="H73" s="19">
        <v>0.0</v>
      </c>
      <c r="I73" s="18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8">
        <v>0.0</v>
      </c>
      <c r="D74" s="18">
        <v>0.0</v>
      </c>
      <c r="E74" s="19">
        <v>0.0</v>
      </c>
      <c r="F74" s="19">
        <v>0.0</v>
      </c>
      <c r="G74" s="19">
        <v>0.0</v>
      </c>
      <c r="H74" s="18">
        <v>0.0</v>
      </c>
      <c r="I74" s="18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8">
        <v>0.0</v>
      </c>
      <c r="D75" s="18">
        <v>0.0</v>
      </c>
      <c r="E75" s="19">
        <v>0.0</v>
      </c>
      <c r="F75" s="19">
        <v>0.0</v>
      </c>
      <c r="G75" s="19">
        <v>0.0</v>
      </c>
      <c r="H75" s="18">
        <v>0.0</v>
      </c>
      <c r="I75" s="18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8">
        <v>0.0</v>
      </c>
      <c r="D76" s="18">
        <v>0.0</v>
      </c>
      <c r="E76" s="19">
        <v>0.0</v>
      </c>
      <c r="F76" s="19">
        <v>0.0</v>
      </c>
      <c r="G76" s="19">
        <v>0.0</v>
      </c>
      <c r="H76" s="18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8">
        <v>0.0</v>
      </c>
      <c r="D77" s="18">
        <v>0.0</v>
      </c>
      <c r="E77" s="19">
        <v>0.0</v>
      </c>
      <c r="F77" s="19">
        <v>0.0</v>
      </c>
      <c r="G77" s="19">
        <v>0.0</v>
      </c>
      <c r="H77" s="18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0.0</v>
      </c>
      <c r="D78" s="18">
        <v>0.0</v>
      </c>
      <c r="E78" s="18">
        <v>0.0</v>
      </c>
      <c r="F78" s="19">
        <v>0.0</v>
      </c>
      <c r="G78" s="19">
        <v>0.0</v>
      </c>
      <c r="H78" s="18">
        <v>0.0</v>
      </c>
      <c r="I78" s="18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8">
        <v>0.0</v>
      </c>
      <c r="D79" s="18">
        <v>0.0</v>
      </c>
      <c r="E79" s="18">
        <v>0.0</v>
      </c>
      <c r="F79" s="19">
        <v>0.0</v>
      </c>
      <c r="G79" s="19">
        <v>0.0</v>
      </c>
      <c r="H79" s="18">
        <v>0.0</v>
      </c>
      <c r="I79" s="18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8">
        <v>0.0</v>
      </c>
      <c r="D80" s="18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0.0</v>
      </c>
      <c r="D81" s="18">
        <v>0.0</v>
      </c>
      <c r="E81" s="19">
        <v>0.0</v>
      </c>
      <c r="F81" s="19">
        <v>0.0</v>
      </c>
      <c r="G81" s="19">
        <v>0.0</v>
      </c>
      <c r="H81" s="18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8">
        <v>0.0</v>
      </c>
      <c r="D82" s="18">
        <v>0.0</v>
      </c>
      <c r="E82" s="19">
        <v>0.0</v>
      </c>
      <c r="F82" s="19">
        <v>0.0</v>
      </c>
      <c r="G82" s="19">
        <v>0.0</v>
      </c>
      <c r="H82" s="18">
        <v>0.0</v>
      </c>
      <c r="I82" s="18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0.0</v>
      </c>
      <c r="D83" s="18">
        <v>0.0</v>
      </c>
      <c r="E83" s="19">
        <v>0.0</v>
      </c>
      <c r="F83" s="18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8">
        <v>0.0</v>
      </c>
      <c r="D84" s="18">
        <v>0.0</v>
      </c>
      <c r="E84" s="19">
        <v>0.0</v>
      </c>
      <c r="F84" s="19">
        <v>0.0</v>
      </c>
      <c r="G84" s="19">
        <v>0.0</v>
      </c>
      <c r="H84" s="18">
        <v>0.0</v>
      </c>
      <c r="I84" s="18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0.0</v>
      </c>
      <c r="D85" s="18">
        <v>0.0</v>
      </c>
      <c r="E85" s="19">
        <v>0.0</v>
      </c>
      <c r="F85" s="19">
        <v>0.0</v>
      </c>
      <c r="G85" s="19">
        <v>0.0</v>
      </c>
      <c r="H85" s="19">
        <v>0.0</v>
      </c>
      <c r="I85" s="18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8">
        <v>0.0</v>
      </c>
      <c r="D86" s="18">
        <v>0.0</v>
      </c>
      <c r="E86" s="18">
        <v>0.0</v>
      </c>
      <c r="F86" s="19">
        <v>0.0</v>
      </c>
      <c r="G86" s="18">
        <v>0.0</v>
      </c>
      <c r="H86" s="18">
        <v>0.0</v>
      </c>
      <c r="I86" s="18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0.0</v>
      </c>
      <c r="D87" s="18">
        <v>0.0</v>
      </c>
      <c r="E87" s="19">
        <v>0.0</v>
      </c>
      <c r="F87" s="19">
        <v>0.0</v>
      </c>
      <c r="G87" s="18">
        <v>0.0</v>
      </c>
      <c r="H87" s="18">
        <v>0.0</v>
      </c>
      <c r="I87" s="18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8">
        <v>0.0</v>
      </c>
      <c r="D88" s="18">
        <v>0.0</v>
      </c>
      <c r="E88" s="19">
        <v>0.0</v>
      </c>
      <c r="F88" s="18">
        <v>0.0</v>
      </c>
      <c r="G88" s="19">
        <v>0.0</v>
      </c>
      <c r="H88" s="18">
        <v>0.0</v>
      </c>
      <c r="I88" s="18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8">
        <v>0.0</v>
      </c>
      <c r="D89" s="18">
        <v>0.0</v>
      </c>
      <c r="E89" s="18">
        <v>0.0</v>
      </c>
      <c r="F89" s="19">
        <v>0.0</v>
      </c>
      <c r="G89" s="18">
        <v>0.0</v>
      </c>
      <c r="H89" s="18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8">
        <v>0.0</v>
      </c>
      <c r="D90" s="18">
        <v>0.0</v>
      </c>
      <c r="E90" s="19">
        <v>0.0</v>
      </c>
      <c r="F90" s="19">
        <v>0.0</v>
      </c>
      <c r="G90" s="18">
        <v>0.0</v>
      </c>
      <c r="H90" s="19">
        <v>0.0</v>
      </c>
      <c r="I90" s="18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8">
        <v>0.0</v>
      </c>
      <c r="D91" s="18">
        <v>0.0</v>
      </c>
      <c r="E91" s="18">
        <v>0.0</v>
      </c>
      <c r="F91" s="19">
        <v>0.0</v>
      </c>
      <c r="G91" s="18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8">
        <v>0.0</v>
      </c>
      <c r="D92" s="18">
        <v>0.0</v>
      </c>
      <c r="E92" s="19">
        <v>0.0</v>
      </c>
      <c r="F92" s="18">
        <v>0.0</v>
      </c>
      <c r="G92" s="18">
        <v>0.0</v>
      </c>
      <c r="H92" s="18">
        <v>0.0</v>
      </c>
      <c r="I92" s="18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0.0</v>
      </c>
      <c r="D93" s="18">
        <v>0.0</v>
      </c>
      <c r="E93" s="19">
        <v>0.0</v>
      </c>
      <c r="F93" s="19">
        <v>0.0</v>
      </c>
      <c r="G93" s="19">
        <v>0.0</v>
      </c>
      <c r="H93" s="18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8">
        <v>0.0</v>
      </c>
      <c r="D94" s="18">
        <v>0.0</v>
      </c>
      <c r="E94" s="19">
        <v>0.0</v>
      </c>
      <c r="F94" s="18">
        <v>0.0</v>
      </c>
      <c r="G94" s="18">
        <v>0.0</v>
      </c>
      <c r="H94" s="19">
        <v>0.0</v>
      </c>
      <c r="I94" s="18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0.0</v>
      </c>
      <c r="D95" s="18">
        <v>0.0</v>
      </c>
      <c r="E95" s="18">
        <v>0.0</v>
      </c>
      <c r="F95" s="19">
        <v>0.0</v>
      </c>
      <c r="G95" s="19">
        <v>0.0</v>
      </c>
      <c r="H95" s="18">
        <v>0.0</v>
      </c>
      <c r="I95" s="18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8">
        <v>0.0</v>
      </c>
      <c r="D96" s="18">
        <v>0.0</v>
      </c>
      <c r="E96" s="19">
        <v>0.0</v>
      </c>
      <c r="F96" s="19">
        <v>0.0</v>
      </c>
      <c r="G96" s="18">
        <v>0.0</v>
      </c>
      <c r="H96" s="18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