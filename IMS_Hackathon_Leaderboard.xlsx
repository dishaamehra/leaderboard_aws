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  <definedName hidden="1" localSheetId="11" name="_xlnm._FilterDatabase">Week1_Team!$A$1:$K$96</definedName>
  </definedNames>
  <calcPr/>
</workbook>
</file>

<file path=xl/sharedStrings.xml><?xml version="1.0" encoding="utf-8"?>
<sst xmlns="http://schemas.openxmlformats.org/spreadsheetml/2006/main" count="7967" uniqueCount="505">
  <si>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</si>
  <si>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</si>
  <si>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</si>
  <si>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</si>
  <si>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</si>
  <si>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</si>
  <si>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</si>
  <si>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</si>
  <si>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</si>
  <si>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</si>
  <si>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</si>
  <si>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</si>
  <si>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</si>
  <si>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</si>
  <si>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</si>
  <si>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</si>
  <si>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</si>
  <si>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</si>
  <si>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</si>
  <si>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</si>
  <si>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</si>
  <si>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</si>
  <si>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</si>
  <si>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</si>
  <si>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</si>
  <si>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</si>
  <si>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</si>
  <si>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</si>
  <si>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</si>
  <si>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</si>
  <si>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</si>
  <si>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</si>
  <si>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</si>
  <si>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</si>
  <si>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</si>
  <si>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</si>
  <si>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</si>
  <si>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</si>
  <si>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</si>
  <si>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</si>
  <si>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</si>
  <si>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</si>
  <si>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</si>
  <si>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</si>
  <si>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</si>
  <si>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</si>
  <si>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</si>
  <si>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</si>
  <si>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</si>
  <si>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</si>
  <si>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</si>
  <si>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</si>
  <si>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</si>
  <si>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</si>
  <si>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</si>
  <si>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</si>
  <si>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</si>
  <si>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</si>
  <si>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</si>
  <si>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</si>
  <si>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</si>
  <si>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</si>
  <si>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</si>
  <si>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</si>
  <si>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</si>
  <si>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</si>
  <si>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</si>
  <si>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</si>
  <si>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</si>
  <si>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</si>
  <si>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</si>
  <si>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</si>
  <si>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</si>
  <si>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</si>
  <si>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</si>
  <si>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</si>
  <si>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</si>
  <si>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</si>
  <si>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</si>
  <si>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</si>
  <si>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</si>
  <si>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</si>
  <si>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</si>
  <si>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</si>
  <si>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</si>
  <si>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</si>
  <si>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</si>
  <si>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</si>
  <si>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</si>
  <si>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</si>
  <si>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</si>
  <si>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</si>
  <si>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</si>
  <si>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</si>
  <si>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</si>
  <si>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</si>
  <si>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</si>
  <si>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</si>
  <si>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</si>
  <si>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</si>
  <si>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</si>
  <si>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</si>
  <si>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</si>
  <si>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</si>
  <si>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</si>
  <si>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</si>
  <si>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</si>
  <si>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</si>
  <si>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</si>
  <si>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</si>
  <si>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</si>
  <si>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</si>
  <si>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</si>
  <si>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</si>
  <si>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</si>
  <si>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</si>
  <si>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</si>
  <si>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</si>
  <si>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</si>
  <si>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</si>
  <si>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</si>
  <si>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</si>
  <si>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</si>
  <si>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</si>
  <si>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</si>
  <si>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</si>
  <si>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</si>
  <si>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</si>
  <si>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</si>
  <si>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</si>
  <si>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</si>
  <si>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</si>
  <si>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</si>
  <si>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</si>
  <si>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</si>
  <si>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</si>
  <si>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</si>
  <si>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</si>
  <si>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</si>
  <si>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</si>
  <si>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</si>
  <si>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</si>
  <si>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</si>
  <si>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</si>
  <si>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</si>
  <si>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</si>
  <si>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</si>
  <si>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</si>
  <si>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</si>
  <si>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</si>
  <si>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</si>
  <si>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</si>
  <si>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</si>
  <si>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</si>
  <si>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</si>
  <si>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</si>
  <si>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</si>
  <si>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</si>
  <si>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</si>
  <si>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</si>
  <si>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</si>
  <si>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</si>
  <si>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</si>
  <si>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</si>
  <si>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</si>
  <si>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</si>
  <si>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</si>
  <si>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</si>
  <si>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</si>
  <si>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</si>
  <si>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</si>
  <si>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</si>
  <si>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</si>
  <si>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</si>
  <si>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</si>
  <si>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</si>
  <si>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</si>
  <si>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</si>
  <si>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</si>
  <si>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</si>
  <si>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</si>
  <si>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</si>
  <si>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</si>
  <si>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</si>
  <si>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</si>
  <si>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</si>
  <si>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</si>
  <si>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</si>
  <si>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</si>
  <si>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</si>
  <si>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</si>
  <si>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</si>
  <si>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</si>
  <si>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</si>
  <si>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</si>
  <si>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</si>
  <si>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</si>
  <si>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</si>
  <si>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</si>
  <si>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</si>
  <si>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</si>
  <si>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</si>
  <si>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</si>
  <si>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</si>
  <si>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</si>
  <si>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</si>
  <si>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</si>
  <si>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</si>
  <si>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</si>
  <si>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</si>
  <si>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</si>
  <si>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</si>
  <si>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</si>
  <si>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</si>
  <si>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</si>
  <si>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</si>
  <si>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</si>
  <si>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</si>
  <si>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</si>
  <si>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</si>
  <si>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</si>
  <si>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</si>
  <si>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</si>
  <si>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</si>
  <si>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</si>
  <si>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</si>
  <si>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</si>
  <si>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</si>
  <si>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</si>
  <si>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</si>
  <si>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</si>
  <si>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</si>
  <si>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</si>
  <si>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</si>
  <si>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</si>
  <si>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</si>
  <si>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</si>
  <si>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</si>
  <si>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</si>
  <si>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</si>
  <si>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</si>
  <si>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</si>
  <si>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</si>
  <si>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</si>
  <si>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</si>
  <si>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</si>
  <si>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</si>
  <si>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</si>
  <si>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</si>
  <si>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</si>
  <si>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</si>
  <si>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</si>
  <si>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</si>
  <si>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</si>
  <si>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</si>
  <si>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</si>
  <si>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</si>
  <si>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</si>
  <si>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</si>
  <si>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</si>
  <si>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</si>
  <si>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</si>
  <si>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</si>
  <si>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</si>
  <si>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</si>
  <si>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</si>
  <si>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</si>
  <si>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</si>
  <si>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</si>
  <si>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</si>
  <si>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</si>
  <si>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</si>
  <si>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</si>
  <si>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</si>
  <si>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</si>
  <si>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Code2Cloud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</si>
  <si>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</si>
  <si>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</si>
  <si>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</si>
  <si>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</si>
  <si>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</si>
  <si>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</si>
  <si>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</si>
  <si>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</si>
  <si>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</si>
  <si>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</si>
  <si>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</si>
  <si>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</si>
  <si>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</si>
  <si>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</si>
  <si>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</si>
  <si>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</si>
  <si>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</si>
  <si>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</si>
  <si>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</si>
  <si>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</si>
  <si>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</si>
  <si>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</si>
  <si>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</si>
  <si>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</si>
  <si>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</si>
  <si>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</si>
  <si>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</si>
  <si>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</si>
  <si>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</si>
  <si>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</si>
  <si>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</si>
  <si>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</si>
  <si>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</si>
  <si>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</si>
  <si>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</si>
  <si>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</si>
  <si>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</si>
  <si>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</si>
  <si>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</si>
  <si>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</si>
  <si>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</si>
  <si>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</si>
  <si>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</si>
  <si>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</si>
  <si>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</si>
  <si>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</si>
  <si>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</si>
  <si>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</si>
  <si>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</si>
  <si>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</si>
  <si>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</si>
  <si>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</si>
  <si>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</si>
  <si>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</si>
  <si>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</si>
  <si>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</si>
  <si>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</si>
  <si>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</si>
  <si>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</si>
  <si>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</si>
  <si>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</si>
  <si>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</si>
  <si>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</si>
  <si>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</si>
  <si>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</si>
  <si>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</si>
  <si>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</si>
  <si>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</si>
  <si>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</si>
  <si>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</si>
  <si>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</si>
  <si>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</si>
  <si>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</si>
  <si>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</si>
  <si>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</si>
  <si>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</si>
  <si>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</si>
  <si>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</si>
  <si>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</si>
  <si>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</si>
  <si>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</si>
  <si>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</si>
  <si>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</si>
  <si>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</si>
  <si>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</si>
  <si>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</si>
  <si>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</si>
  <si>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</si>
  <si>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</si>
  <si>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</si>
  <si>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</si>
  <si>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</si>
  <si>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</si>
  <si>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</si>
  <si>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</si>
  <si>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</si>
  <si>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</si>
  <si>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</si>
  <si>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</si>
  <si>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</si>
  <si>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</si>
  <si>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</si>
  <si>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</si>
  <si>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</si>
  <si>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</si>
  <si>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</si>
  <si>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</si>
  <si>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</si>
  <si>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</si>
  <si>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</si>
  <si>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</si>
  <si>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</si>
  <si>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</si>
  <si>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</si>
  <si>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</si>
  <si>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</si>
  <si>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</si>
  <si>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</si>
  <si>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</si>
  <si>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</si>
  <si>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</si>
  <si>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</si>
  <si>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</si>
  <si>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</si>
  <si>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</si>
  <si>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</si>
  <si>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</si>
  <si>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</si>
  <si>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</si>
  <si>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</si>
  <si>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</si>
  <si>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</si>
  <si>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</si>
  <si>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</si>
  <si>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</si>
  <si>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</si>
  <si>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</si>
  <si>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</si>
  <si>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</si>
  <si>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</si>
  <si>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</si>
  <si>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</si>
  <si>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</si>
  <si>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</si>
  <si>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</si>
  <si>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</si>
  <si>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</si>
  <si>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</si>
  <si>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</si>
  <si>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</si>
  <si>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</si>
  <si>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</si>
  <si>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</si>
  <si>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</si>
  <si>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</si>
  <si>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</si>
  <si>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</si>
  <si>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</si>
  <si>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</si>
  <si>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</si>
  <si>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</si>
  <si>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</si>
  <si>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</si>
  <si>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</si>
  <si>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</si>
  <si>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</si>
  <si>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</si>
  <si>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</si>
  <si>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</si>
  <si>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</si>
  <si>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</si>
  <si>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</si>
  <si>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</si>
  <si>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</si>
  <si>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</si>
  <si>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</si>
  <si>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</si>
  <si>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</si>
  <si>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</si>
  <si>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</si>
  <si>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</si>
  <si>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</si>
  <si>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</si>
  <si>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</si>
  <si>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</si>
  <si>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</si>
  <si>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</si>
  <si>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</si>
  <si>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</si>
  <si>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</si>
  <si>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</si>
  <si>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</si>
  <si>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</si>
  <si>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</si>
  <si>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</si>
  <si>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</si>
  <si>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</si>
  <si>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</si>
  <si>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</si>
  <si>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</si>
  <si>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</si>
  <si>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</si>
  <si>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</si>
  <si>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</si>
  <si>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</si>
  <si>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</si>
  <si>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</si>
  <si>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</si>
  <si>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</si>
  <si>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</si>
  <si>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</si>
  <si>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</si>
  <si>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</si>
  <si>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</si>
  <si>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</si>
  <si>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</si>
  <si>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</si>
  <si>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</si>
  <si>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f</t>
  </si>
  <si>
    <t>Weekly Update (0/1)</t>
  </si>
  <si>
    <t>Deploys</t>
  </si>
  <si>
    <t>Helped Other Teams</t>
  </si>
  <si>
    <t>Blog Posts</t>
  </si>
  <si>
    <t>PRs Merged</t>
  </si>
  <si>
    <t>Build Nights Attended</t>
  </si>
  <si>
    <t>Mentor Hour Slots Used</t>
  </si>
  <si>
    <t>Demo Day (0/1)</t>
  </si>
  <si>
    <t>Team Points</t>
  </si>
  <si>
    <t>AWS TECHIES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</si>
</sst>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2" fontId="3" numFmtId="0" xfId="0" applyAlignment="1" applyBorder="1" applyFont="1">
      <alignment horizontal="center" readingOrder="0" shrinkToFit="0" vertical="center" wrapText="1"/>
    </xf>
    <xf borderId="1" fillId="4" fontId="12" numFmtId="0" xfId="0" applyAlignment="1" applyBorder="1" applyFon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3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162.5</v>
      </c>
      <c r="G2" s="5">
        <f>ROUND(IFERROR(AVERAGEIF(Week3_Individual!$B:$B,$C2,Week3_Individual!$H:$H),0)+IFERROR(VLOOKUP($C2,Week3_Team!$B:$K,10,FALSE()),0),1)</f>
        <v>0</v>
      </c>
      <c r="H2" s="5">
        <f>ROUND(IFERROR(AVERAGEIF(Week4_Individual!$B:$B,$C2,Week4_Individual!$H:$H),0)+IFERROR(VLOOKUP($C2,Week4_Team!$B:$K,10,FALSE()),0),1)</f>
        <v>0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245</v>
      </c>
    </row>
    <row r="3">
      <c r="A3" s="6">
        <f t="shared" si="1"/>
        <v>2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85</v>
      </c>
      <c r="F3" s="5">
        <f>ROUND(IFERROR(AVERAGEIF(Week2_Individual!$B:$B,$C3,Week2_Individual!$H:$H),0)+IFERROR(VLOOKUP($C3,Week2_Team!$B:$K,10,FALSE()),0),1)</f>
        <v>165</v>
      </c>
      <c r="G3" s="5">
        <f>ROUND(IFERROR(AVERAGEIF(Week3_Individual!$B:$B,$C3,Week3_Individual!$H:$H),0)+IFERROR(VLOOKUP($C3,Week3_Team!$B:$K,10,FALSE()),0),1)</f>
        <v>0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250</v>
      </c>
    </row>
    <row r="4">
      <c r="A4" s="10">
        <f t="shared" si="1"/>
        <v>46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30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12.5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22.5</v>
      </c>
    </row>
    <row r="6">
      <c r="A6" s="6">
        <f t="shared" si="1"/>
        <v>46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31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20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20</v>
      </c>
    </row>
    <row r="8">
      <c r="A8" s="6">
        <f t="shared" si="1"/>
        <v>17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30</v>
      </c>
      <c r="F8" s="5">
        <f>ROUND(IFERROR(AVERAGEIF(Week2_Individual!$B:$B,$C8,Week2_Individual!$H:$H),0)+IFERROR(VLOOKUP($C8,Week2_Team!$B:$K,10,FALSE()),0),1)</f>
        <v>117.5</v>
      </c>
      <c r="G8" s="5">
        <f>ROUND(IFERROR(AVERAGEIF(Week3_Individual!$B:$B,$C8,Week3_Individual!$H:$H),0)+IFERROR(VLOOKUP($C8,Week3_Team!$B:$K,10,FALSE()),0),1)</f>
        <v>0</v>
      </c>
      <c r="H8" s="5">
        <f>ROUND(IFERROR(AVERAGEIF(Week4_Individual!$B:$B,$C8,Week4_Individual!$H:$H),0)+IFERROR(VLOOKUP($C8,Week4_Team!$B:$K,10,FALSE()),0),1)</f>
        <v>0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147.5</v>
      </c>
    </row>
    <row r="9">
      <c r="A9" s="6">
        <f t="shared" si="1"/>
        <v>25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40</v>
      </c>
      <c r="G9" s="5">
        <f>ROUND(IFERROR(AVERAGEIF(Week3_Individual!$B:$B,$C9,Week3_Individual!$H:$H),0)+IFERROR(VLOOKUP($C9,Week3_Team!$B:$K,10,FALSE()),0),1)</f>
        <v>0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40</v>
      </c>
    </row>
    <row r="10">
      <c r="A10" s="6">
        <f t="shared" si="1"/>
        <v>35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0</v>
      </c>
      <c r="H10" s="5">
        <f>ROUND(IFERROR(AVERAGEIF(Week4_Individual!$B:$B,$C10,Week4_Individual!$H:$H),0)+IFERROR(VLOOKUP($C10,Week4_Team!$B:$K,10,FALSE()),0),1)</f>
        <v>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10</v>
      </c>
    </row>
    <row r="11">
      <c r="A11" s="6">
        <f t="shared" si="1"/>
        <v>35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3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162.5</v>
      </c>
      <c r="G12" s="5">
        <f>ROUND(IFERROR(AVERAGEIF(Week3_Individual!$B:$B,$C12,Week3_Individual!$H:$H),0)+IFERROR(VLOOKUP($C12,Week3_Team!$B:$K,10,FALSE()),0),1)</f>
        <v>0</v>
      </c>
      <c r="H12" s="5">
        <f>ROUND(IFERROR(AVERAGEIF(Week4_Individual!$B:$B,$C12,Week4_Individual!$H:$H),0)+IFERROR(VLOOKUP($C12,Week4_Team!$B:$K,10,FALSE()),0),1)</f>
        <v>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245</v>
      </c>
    </row>
    <row r="13">
      <c r="A13" s="6">
        <f t="shared" si="1"/>
        <v>46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0</v>
      </c>
    </row>
    <row r="14">
      <c r="A14" s="6">
        <f t="shared" si="1"/>
        <v>45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1.7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1.7</v>
      </c>
    </row>
    <row r="15">
      <c r="A15" s="6">
        <f t="shared" si="1"/>
        <v>46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20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45</v>
      </c>
      <c r="G16" s="5">
        <f>ROUND(IFERROR(AVERAGEIF(Week3_Individual!$B:$B,$C16,Week3_Individual!$H:$H),0)+IFERROR(VLOOKUP($C16,Week3_Team!$B:$K,10,FALSE()),0),1)</f>
        <v>0</v>
      </c>
      <c r="H16" s="5">
        <f>ROUND(IFERROR(AVERAGEIF(Week4_Individual!$B:$B,$C16,Week4_Individual!$H:$H),0)+IFERROR(VLOOKUP($C16,Week4_Team!$B:$K,10,FALSE()),0),1)</f>
        <v>0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95</v>
      </c>
    </row>
    <row r="17">
      <c r="A17" s="10">
        <f t="shared" si="1"/>
        <v>46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46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46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8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127.5</v>
      </c>
      <c r="G20" s="5">
        <f>ROUND(IFERROR(AVERAGEIF(Week3_Individual!$B:$B,$C20,Week3_Individual!$H:$H),0)+IFERROR(VLOOKUP($C20,Week3_Team!$B:$K,10,FALSE()),0),1)</f>
        <v>0</v>
      </c>
      <c r="H20" s="5">
        <f>ROUND(IFERROR(AVERAGEIF(Week4_Individual!$B:$B,$C20,Week4_Individual!$H:$H),0)+IFERROR(VLOOKUP($C20,Week4_Team!$B:$K,10,FALSE()),0),1)</f>
        <v>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217.5</v>
      </c>
    </row>
    <row r="21" ht="15.75" customHeight="1">
      <c r="A21" s="6">
        <f t="shared" si="1"/>
        <v>46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46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46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46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46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46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46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46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46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1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205</v>
      </c>
      <c r="G30" s="5">
        <f>ROUND(IFERROR(AVERAGEIF(Week3_Individual!$B:$B,$C30,Week3_Individual!$H:$H),0)+IFERROR(VLOOKUP($C30,Week3_Team!$B:$K,10,FALSE()),0),1)</f>
        <v>0</v>
      </c>
      <c r="H30" s="5">
        <f>ROUND(IFERROR(AVERAGEIF(Week4_Individual!$B:$B,$C30,Week4_Individual!$H:$H),0)+IFERROR(VLOOKUP($C30,Week4_Team!$B:$K,10,FALSE()),0),1)</f>
        <v>0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295</v>
      </c>
    </row>
    <row r="31" ht="15.75" customHeight="1">
      <c r="A31" s="6">
        <f t="shared" si="1"/>
        <v>46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46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46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46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35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10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10</v>
      </c>
    </row>
    <row r="36" ht="15.75" customHeight="1">
      <c r="A36" s="6">
        <f t="shared" si="1"/>
        <v>35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46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46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14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97.5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172.5</v>
      </c>
    </row>
    <row r="40" ht="15.75" customHeight="1">
      <c r="A40" s="6">
        <f t="shared" si="1"/>
        <v>35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46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46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15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95</v>
      </c>
      <c r="G43" s="5">
        <f>ROUND(IFERROR(AVERAGEIF(Week3_Individual!$B:$B,$C43,Week3_Individual!$H:$H),0)+IFERROR(VLOOKUP($C43,Week3_Team!$B:$K,10,FALSE()),0),1)</f>
        <v>0</v>
      </c>
      <c r="H43" s="5">
        <f>ROUND(IFERROR(AVERAGEIF(Week4_Individual!$B:$B,$C43,Week4_Individual!$H:$H),0)+IFERROR(VLOOKUP($C43,Week4_Team!$B:$K,10,FALSE()),0),1)</f>
        <v>0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165</v>
      </c>
    </row>
    <row r="44" ht="15.75" customHeight="1">
      <c r="A44" s="6">
        <f t="shared" si="1"/>
        <v>34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12.5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12.5</v>
      </c>
    </row>
    <row r="45" ht="15.75" customHeight="1">
      <c r="A45" s="6">
        <f t="shared" si="1"/>
        <v>46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46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6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95</v>
      </c>
      <c r="F47" s="5">
        <f>ROUND(IFERROR(AVERAGEIF(Week2_Individual!$B:$B,$C47,Week2_Individual!$H:$H),0)+IFERROR(VLOOKUP($C47,Week2_Team!$B:$K,10,FALSE()),0),1)</f>
        <v>130</v>
      </c>
      <c r="G47" s="5">
        <f>ROUND(IFERROR(AVERAGEIF(Week3_Individual!$B:$B,$C47,Week3_Individual!$H:$H),0)+IFERROR(VLOOKUP($C47,Week3_Team!$B:$K,10,FALSE()),0),1)</f>
        <v>0</v>
      </c>
      <c r="H47" s="5">
        <f>ROUND(IFERROR(AVERAGEIF(Week4_Individual!$B:$B,$C47,Week4_Individual!$H:$H),0)+IFERROR(VLOOKUP($C47,Week4_Team!$B:$K,10,FALSE()),0),1)</f>
        <v>0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225</v>
      </c>
    </row>
    <row r="48" ht="15.75" customHeight="1">
      <c r="A48" s="6">
        <f t="shared" si="1"/>
        <v>46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46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46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46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46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7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95</v>
      </c>
      <c r="F53" s="5">
        <f>ROUND(IFERROR(AVERAGEIF(Week2_Individual!$B:$B,$C53,Week2_Individual!$H:$H),0)+IFERROR(VLOOKUP($C53,Week2_Team!$B:$K,10,FALSE()),0),1)</f>
        <v>125</v>
      </c>
      <c r="G53" s="5">
        <f>ROUND(IFERROR(AVERAGEIF(Week3_Individual!$B:$B,$C53,Week3_Individual!$H:$H),0)+IFERROR(VLOOKUP($C53,Week3_Team!$B:$K,10,FALSE()),0),1)</f>
        <v>0</v>
      </c>
      <c r="H53" s="5">
        <f>ROUND(IFERROR(AVERAGEIF(Week4_Individual!$B:$B,$C53,Week4_Individual!$H:$H),0)+IFERROR(VLOOKUP($C53,Week4_Team!$B:$K,10,FALSE()),0),1)</f>
        <v>0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220</v>
      </c>
    </row>
    <row r="54" ht="15.75" customHeight="1">
      <c r="A54" s="6">
        <f t="shared" si="1"/>
        <v>13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93.3</v>
      </c>
      <c r="F54" s="5">
        <f>ROUND(IFERROR(AVERAGEIF(Week2_Individual!$B:$B,$C54,Week2_Individual!$H:$H),0)+IFERROR(VLOOKUP($C54,Week2_Team!$B:$K,10,FALSE()),0),1)</f>
        <v>85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0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178.3</v>
      </c>
    </row>
    <row r="55" ht="15.75" customHeight="1">
      <c r="A55" s="6">
        <f t="shared" si="1"/>
        <v>46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46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35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46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46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46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32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15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15</v>
      </c>
    </row>
    <row r="62" ht="15.75" customHeight="1">
      <c r="A62" s="6">
        <f t="shared" si="1"/>
        <v>46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46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24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46.7</v>
      </c>
      <c r="G64" s="5">
        <f>ROUND(IFERROR(AVERAGEIF(Week3_Individual!$B:$B,$C64,Week3_Individual!$H:$H),0)+IFERROR(VLOOKUP($C64,Week3_Team!$B:$K,10,FALSE()),0),1)</f>
        <v>0</v>
      </c>
      <c r="H64" s="5">
        <f>ROUND(IFERROR(AVERAGEIF(Week4_Individual!$B:$B,$C64,Week4_Individual!$H:$H),0)+IFERROR(VLOOKUP($C64,Week4_Team!$B:$K,10,FALSE()),0),1)</f>
        <v>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46.7</v>
      </c>
    </row>
    <row r="65" ht="15.75" customHeight="1">
      <c r="A65" s="6">
        <f t="shared" si="1"/>
        <v>29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46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35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12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70</v>
      </c>
      <c r="F68" s="5">
        <f>ROUND(IFERROR(AVERAGEIF(Week2_Individual!$B:$B,$C68,Week2_Individual!$H:$H),0)+IFERROR(VLOOKUP($C68,Week2_Team!$B:$K,10,FALSE()),0),1)</f>
        <v>110</v>
      </c>
      <c r="G68" s="5">
        <f>ROUND(IFERROR(AVERAGEIF(Week3_Individual!$B:$B,$C68,Week3_Individual!$H:$H),0)+IFERROR(VLOOKUP($C68,Week3_Team!$B:$K,10,FALSE()),0),1)</f>
        <v>0</v>
      </c>
      <c r="H68" s="5">
        <f>ROUND(IFERROR(AVERAGEIF(Week4_Individual!$B:$B,$C68,Week4_Individual!$H:$H),0)+IFERROR(VLOOKUP($C68,Week4_Team!$B:$K,10,FALSE()),0),1)</f>
        <v>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180</v>
      </c>
    </row>
    <row r="69" ht="15.75" customHeight="1">
      <c r="A69" s="6">
        <f t="shared" si="1"/>
        <v>46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46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44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27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5</v>
      </c>
      <c r="G72" s="5">
        <f>ROUND(IFERROR(AVERAGEIF(Week3_Individual!$B:$B,$C72,Week3_Individual!$H:$H),0)+IFERROR(VLOOKUP($C72,Week3_Team!$B:$K,10,FALSE()),0),1)</f>
        <v>0</v>
      </c>
      <c r="H72" s="5">
        <f>ROUND(IFERROR(AVERAGEIF(Week4_Individual!$B:$B,$C72,Week4_Individual!$H:$H),0)+IFERROR(VLOOKUP($C72,Week4_Team!$B:$K,10,FALSE()),0),1)</f>
        <v>0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33.8</v>
      </c>
    </row>
    <row r="73" ht="15.75" customHeight="1">
      <c r="A73" s="6">
        <f t="shared" si="1"/>
        <v>46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46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46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0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0</v>
      </c>
    </row>
    <row r="76" ht="15.75" customHeight="1">
      <c r="A76" s="6">
        <f t="shared" si="1"/>
        <v>35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22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40</v>
      </c>
      <c r="G77" s="5">
        <f>ROUND(IFERROR(AVERAGEIF(Week3_Individual!$B:$B,$C77,Week3_Individual!$H:$H),0)+IFERROR(VLOOKUP($C77,Week3_Team!$B:$K,10,FALSE()),0),1)</f>
        <v>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72.5</v>
      </c>
    </row>
    <row r="78" ht="15.75" customHeight="1">
      <c r="A78" s="6">
        <f t="shared" si="1"/>
        <v>9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95</v>
      </c>
      <c r="F78" s="5">
        <f>ROUND(IFERROR(AVERAGEIF(Week2_Individual!$B:$B,$C78,Week2_Individual!$H:$H),0)+IFERROR(VLOOKUP($C78,Week2_Team!$B:$K,10,FALSE()),0),1)</f>
        <v>120</v>
      </c>
      <c r="G78" s="5">
        <f>ROUND(IFERROR(AVERAGEIF(Week3_Individual!$B:$B,$C78,Week3_Individual!$H:$H),0)+IFERROR(VLOOKUP($C78,Week3_Team!$B:$K,10,FALSE()),0),1)</f>
        <v>0</v>
      </c>
      <c r="H78" s="5">
        <f>ROUND(IFERROR(AVERAGEIF(Week4_Individual!$B:$B,$C78,Week4_Individual!$H:$H),0)+IFERROR(VLOOKUP($C78,Week4_Team!$B:$K,10,FALSE()),0),1)</f>
        <v>0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215</v>
      </c>
    </row>
    <row r="79" ht="15.75" customHeight="1">
      <c r="A79" s="6">
        <f t="shared" si="1"/>
        <v>5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180</v>
      </c>
      <c r="G79" s="5">
        <f>ROUND(IFERROR(AVERAGEIF(Week3_Individual!$B:$B,$C79,Week3_Individual!$H:$H),0)+IFERROR(VLOOKUP($C79,Week3_Team!$B:$K,10,FALSE()),0),1)</f>
        <v>0</v>
      </c>
      <c r="H79" s="5">
        <f>ROUND(IFERROR(AVERAGEIF(Week4_Individual!$B:$B,$C79,Week4_Individual!$H:$H),0)+IFERROR(VLOOKUP($C79,Week4_Team!$B:$K,10,FALSE()),0),1)</f>
        <v>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235</v>
      </c>
    </row>
    <row r="80" ht="15.75" customHeight="1">
      <c r="A80" s="6">
        <f t="shared" si="1"/>
        <v>46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18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90</v>
      </c>
      <c r="G81" s="5">
        <f>ROUND(IFERROR(AVERAGEIF(Week3_Individual!$B:$B,$C81,Week3_Individual!$H:$H),0)+IFERROR(VLOOKUP($C81,Week3_Team!$B:$K,10,FALSE()),0),1)</f>
        <v>0</v>
      </c>
      <c r="H81" s="5">
        <f>ROUND(IFERROR(AVERAGEIF(Week4_Individual!$B:$B,$C81,Week4_Individual!$H:$H),0)+IFERROR(VLOOKUP($C81,Week4_Team!$B:$K,10,FALSE()),0),1)</f>
        <v>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145</v>
      </c>
    </row>
    <row r="82" ht="15.75" customHeight="1">
      <c r="A82" s="6">
        <f t="shared" si="1"/>
        <v>46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19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95</v>
      </c>
      <c r="G83" s="5">
        <f>ROUND(IFERROR(AVERAGEIF(Week3_Individual!$B:$B,$C83,Week3_Individual!$H:$H),0)+IFERROR(VLOOKUP($C83,Week3_Team!$B:$K,10,FALSE()),0),1)</f>
        <v>0</v>
      </c>
      <c r="H83" s="5">
        <f>ROUND(IFERROR(AVERAGEIF(Week4_Individual!$B:$B,$C83,Week4_Individual!$H:$H),0)+IFERROR(VLOOKUP($C83,Week4_Team!$B:$K,10,FALSE()),0),1)</f>
        <v>0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120</v>
      </c>
    </row>
    <row r="84" ht="15.75" customHeight="1">
      <c r="A84" s="6">
        <f t="shared" si="1"/>
        <v>46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10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107.5</v>
      </c>
      <c r="G85" s="5">
        <f>ROUND(IFERROR(AVERAGEIF(Week3_Individual!$B:$B,$C85,Week3_Individual!$H:$H),0)+IFERROR(VLOOKUP($C85,Week3_Team!$B:$K,10,FALSE()),0),1)</f>
        <v>0</v>
      </c>
      <c r="H85" s="5">
        <f>ROUND(IFERROR(AVERAGEIF(Week4_Individual!$B:$B,$C85,Week4_Individual!$H:$H),0)+IFERROR(VLOOKUP($C85,Week4_Team!$B:$K,10,FALSE()),0),1)</f>
        <v>0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187.5</v>
      </c>
    </row>
    <row r="86" ht="15.75" customHeight="1">
      <c r="A86" s="6">
        <f t="shared" si="1"/>
        <v>35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20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36.7</v>
      </c>
      <c r="G87" s="5">
        <f>ROUND(IFERROR(AVERAGEIF(Week3_Individual!$B:$B,$C87,Week3_Individual!$H:$H),0)+IFERROR(VLOOKUP($C87,Week3_Team!$B:$K,10,FALSE()),0),1)</f>
        <v>0</v>
      </c>
      <c r="H87" s="5">
        <f>ROUND(IFERROR(AVERAGEIF(Week4_Individual!$B:$B,$C87,Week4_Individual!$H:$H),0)+IFERROR(VLOOKUP($C87,Week4_Team!$B:$K,10,FALSE()),0),1)</f>
        <v>0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95</v>
      </c>
    </row>
    <row r="88" ht="15.75" customHeight="1">
      <c r="A88" s="6">
        <f t="shared" si="1"/>
        <v>23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25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55</v>
      </c>
    </row>
    <row r="89" ht="15.75" customHeight="1">
      <c r="A89" s="6">
        <f t="shared" si="1"/>
        <v>32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26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17.5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35</v>
      </c>
    </row>
    <row r="91" ht="15.75" customHeight="1">
      <c r="A91" s="6">
        <f t="shared" si="1"/>
        <v>46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46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11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106.3</v>
      </c>
      <c r="G93" s="5">
        <f>ROUND(IFERROR(AVERAGEIF(Week3_Individual!$B:$B,$C93,Week3_Individual!$H:$H),0)+IFERROR(VLOOKUP($C93,Week3_Team!$B:$K,10,FALSE()),0),1)</f>
        <v>0</v>
      </c>
      <c r="H93" s="5">
        <f>ROUND(IFERROR(AVERAGEIF(Week4_Individual!$B:$B,$C93,Week4_Individual!$H:$H),0)+IFERROR(VLOOKUP($C93,Week4_Team!$B:$K,10,FALSE()),0),1)</f>
        <v>0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186.3</v>
      </c>
    </row>
    <row r="94" ht="15.75" customHeight="1">
      <c r="A94" s="6">
        <f t="shared" si="1"/>
        <v>46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16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80</v>
      </c>
      <c r="G95" s="5">
        <f>ROUND(IFERROR(AVERAGEIF(Week3_Individual!$B:$B,$C95,Week3_Individual!$H:$H),0)+IFERROR(VLOOKUP($C95,Week3_Team!$B:$K,10,FALSE()),0),1)</f>
        <v>0</v>
      </c>
      <c r="H95" s="5">
        <f>ROUND(IFERROR(AVERAGEIF(Week4_Individual!$B:$B,$C95,Week4_Individual!$H:$H),0)+IFERROR(VLOOKUP($C95,Week4_Team!$B:$K,10,FALSE()),0),1)</f>
        <v>0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155</v>
      </c>
    </row>
    <row r="96" ht="15.75" customHeight="1">
      <c r="A96" s="6">
        <f t="shared" si="1"/>
        <v>28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18.8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28.8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17" t="s">
        <v>275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/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2.0</v>
      </c>
      <c r="F99" s="18">
        <v>1.0</v>
      </c>
      <c r="G99" s="18">
        <v>1.0</v>
      </c>
      <c r="H99" s="6">
        <f>E99*PV_SESSION+F99*PV_CHALLENGE+G99*PV_WIN</f>
        <v>60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2.0</v>
      </c>
      <c r="F100" s="18">
        <v>1.0</v>
      </c>
      <c r="G100" s="18">
        <v>0.0</v>
      </c>
      <c r="H100" s="6">
        <f>E100*PV_SESSION+F100*PV_CHALLENGE+G100*PV_WIN</f>
        <v>30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2.0</v>
      </c>
      <c r="F140" s="18">
        <v>1.0</v>
      </c>
      <c r="G140" s="18">
        <v>1.0</v>
      </c>
      <c r="H140" s="6">
        <f>E140*PV_SESSION+F140*PV_CHALLENGE+G140*PV_WIN</f>
        <v>60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2.0</v>
      </c>
      <c r="F141" s="18">
        <v>1.0</v>
      </c>
      <c r="G141" s="18">
        <v>1.0</v>
      </c>
      <c r="H141" s="6">
        <f>E141*PV_SESSION+F141*PV_CHALLENGE+G141*PV_WIN</f>
        <v>60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8">
        <v>2.0</v>
      </c>
      <c r="F163" s="19">
        <v>0.0</v>
      </c>
      <c r="G163" s="19">
        <v>0.0</v>
      </c>
      <c r="H163" s="6">
        <f>E163*PV_SESSION+F163*PV_CHALLENGE+G163*PV_WIN</f>
        <v>10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8">
        <v>2.0</v>
      </c>
      <c r="F164" s="19">
        <v>0.0</v>
      </c>
      <c r="G164" s="19">
        <v>0.0</v>
      </c>
      <c r="H164" s="6">
        <f>E164*PV_SESSION+F164*PV_CHALLENGE+G164*PV_WIN</f>
        <v>10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4.0</v>
      </c>
      <c r="F2" s="18">
        <v>1.0</v>
      </c>
      <c r="G2" s="18">
        <v>1.0</v>
      </c>
      <c r="H2" s="6">
        <f>E2*PV_SESSION+F2*PV_CHALLENGE+G2*PV_WIN</f>
        <v>70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3.0</v>
      </c>
      <c r="F3" s="18">
        <v>1.0</v>
      </c>
      <c r="G3" s="18">
        <v>1.0</v>
      </c>
      <c r="H3" s="6">
        <f>E3*PV_SESSION+F3*PV_CHALLENGE+G3*PV_WIN</f>
        <v>65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8">
        <v>4.0</v>
      </c>
      <c r="F4" s="18">
        <v>1.0</v>
      </c>
      <c r="G4" s="19">
        <v>0.0</v>
      </c>
      <c r="H4" s="6">
        <f>E4*PV_SESSION+F4*PV_CHALLENGE+G4*PV_WIN</f>
        <v>40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3.0</v>
      </c>
      <c r="F5" s="18">
        <v>1.0</v>
      </c>
      <c r="G5" s="19">
        <v>0.0</v>
      </c>
      <c r="H5" s="6">
        <f>E5*PV_SESSION+F5*PV_CHALLENGE+G5*PV_WIN</f>
        <v>35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4.0</v>
      </c>
      <c r="F6" s="18">
        <v>1.0</v>
      </c>
      <c r="G6" s="19">
        <v>0.0</v>
      </c>
      <c r="H6" s="6">
        <f>E6*PV_SESSION+F6*PV_CHALLENGE+G6*PV_WIN</f>
        <v>40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8">
        <v>4.0</v>
      </c>
      <c r="F7" s="18">
        <v>1.0</v>
      </c>
      <c r="G7" s="19">
        <v>0.0</v>
      </c>
      <c r="H7" s="6">
        <f>E7*PV_SESSION+F7*PV_CHALLENGE+G7*PV_WIN</f>
        <v>40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3.0</v>
      </c>
      <c r="F11" s="19">
        <v>0.0</v>
      </c>
      <c r="G11" s="19">
        <v>0.0</v>
      </c>
      <c r="H11" s="6">
        <f>E11*PV_SESSION+F11*PV_CHALLENGE+G11*PV_WIN</f>
        <v>15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1.0</v>
      </c>
      <c r="G14" s="19">
        <v>0.0</v>
      </c>
      <c r="H14" s="6">
        <f>E14*PV_SESSION+F14*PV_CHALLENGE+G14*PV_WIN</f>
        <v>20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8">
        <v>1.0</v>
      </c>
      <c r="G15" s="19">
        <v>0.0</v>
      </c>
      <c r="H15" s="6">
        <f>E15*PV_SESSION+F15*PV_CHALLENGE+G15*PV_WIN</f>
        <v>20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8">
        <v>1.0</v>
      </c>
      <c r="G16" s="19">
        <v>0.0</v>
      </c>
      <c r="H16" s="6">
        <f>E16*PV_SESSION+F16*PV_CHALLENGE+G16*PV_WIN</f>
        <v>20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8">
        <v>1.0</v>
      </c>
      <c r="G17" s="19">
        <v>0.0</v>
      </c>
      <c r="H17" s="6">
        <f>E17*PV_SESSION+F17*PV_CHALLENGE+G17*PV_WIN</f>
        <v>20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3.0</v>
      </c>
      <c r="F18" s="18">
        <v>1.0</v>
      </c>
      <c r="G18" s="19">
        <v>0.0</v>
      </c>
      <c r="H18" s="6">
        <f>E18*PV_SESSION+F18*PV_CHALLENGE+G18*PV_WIN</f>
        <v>35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8">
        <v>3.0</v>
      </c>
      <c r="F19" s="18">
        <v>1.0</v>
      </c>
      <c r="G19" s="19">
        <v>0.0</v>
      </c>
      <c r="H19" s="6">
        <f>E19*PV_SESSION+F19*PV_CHALLENGE+G19*PV_WIN</f>
        <v>35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4.0</v>
      </c>
      <c r="F29" s="18">
        <v>1.0</v>
      </c>
      <c r="G29" s="19">
        <v>0.0</v>
      </c>
      <c r="H29" s="6">
        <f>E29*PV_SESSION+F29*PV_CHALLENGE+G29*PV_WIN</f>
        <v>40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8">
        <v>3.0</v>
      </c>
      <c r="F30" s="18">
        <v>1.0</v>
      </c>
      <c r="G30" s="19">
        <v>0.0</v>
      </c>
      <c r="H30" s="6">
        <f>E30*PV_SESSION+F30*PV_CHALLENGE+G30*PV_WIN</f>
        <v>35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3.0</v>
      </c>
      <c r="F32" s="18">
        <v>1.0</v>
      </c>
      <c r="G32" s="18">
        <v>1.0</v>
      </c>
      <c r="H32" s="6">
        <f>E32*PV_SESSION+F32*PV_CHALLENGE+G32*PV_WIN</f>
        <v>65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1.0</v>
      </c>
      <c r="F37" s="19">
        <v>0.0</v>
      </c>
      <c r="G37" s="19">
        <v>0.0</v>
      </c>
      <c r="H37" s="6">
        <f>E37*PV_SESSION+F37*PV_CHALLENGE+G37*PV_WIN</f>
        <v>5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8">
        <v>1.0</v>
      </c>
      <c r="G40" s="19">
        <v>0.0</v>
      </c>
      <c r="H40" s="6">
        <f>E40*PV_SESSION+F40*PV_CHALLENGE+G40*PV_WIN</f>
        <v>20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8">
        <v>1.0</v>
      </c>
      <c r="G41" s="19">
        <v>0.0</v>
      </c>
      <c r="H41" s="6">
        <f>E41*PV_SESSION+F41*PV_CHALLENGE+G41*PV_WIN</f>
        <v>20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8">
        <v>1.0</v>
      </c>
      <c r="G42" s="19">
        <v>0.0</v>
      </c>
      <c r="H42" s="6">
        <f>E42*PV_SESSION+F42*PV_CHALLENGE+G42*PV_WIN</f>
        <v>20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3.0</v>
      </c>
      <c r="F51" s="18">
        <v>1.0</v>
      </c>
      <c r="G51" s="18">
        <v>1.0</v>
      </c>
      <c r="H51" s="6">
        <f>E51*PV_SESSION+F51*PV_CHALLENGE+G51*PV_WIN</f>
        <v>65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2.0</v>
      </c>
      <c r="F52" s="19">
        <v>0.0</v>
      </c>
      <c r="G52" s="19">
        <v>0.0</v>
      </c>
      <c r="H52" s="6">
        <f>E52*PV_SESSION+F52*PV_CHALLENGE+G52*PV_WIN</f>
        <v>10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3.0</v>
      </c>
      <c r="F66" s="18">
        <v>1.0</v>
      </c>
      <c r="G66" s="19">
        <v>0.0</v>
      </c>
      <c r="H66" s="6">
        <f>E66*PV_SESSION+F66*PV_CHALLENGE+G66*PV_WIN</f>
        <v>35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3.0</v>
      </c>
      <c r="F67" s="18">
        <v>1.0</v>
      </c>
      <c r="G67" s="19">
        <v>0.0</v>
      </c>
      <c r="H67" s="6">
        <f>E67*PV_SESSION+F67*PV_CHALLENGE+G67*PV_WIN</f>
        <v>35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8">
        <v>1.0</v>
      </c>
      <c r="G75" s="19">
        <v>0.0</v>
      </c>
      <c r="H75" s="6">
        <f>E75*PV_SESSION+F75*PV_CHALLENGE+G75*PV_WIN</f>
        <v>20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3.0</v>
      </c>
      <c r="F83" s="18">
        <v>1.0</v>
      </c>
      <c r="G83" s="19">
        <v>0.0</v>
      </c>
      <c r="H83" s="6">
        <f>E83*PV_SESSION+F83*PV_CHALLENGE+G83*PV_WIN</f>
        <v>35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8">
        <v>4.0</v>
      </c>
      <c r="F84" s="18">
        <v>1.0</v>
      </c>
      <c r="G84" s="19">
        <v>0.0</v>
      </c>
      <c r="H84" s="6">
        <f>E84*PV_SESSION+F84*PV_CHALLENGE+G84*PV_WIN</f>
        <v>40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3.0</v>
      </c>
      <c r="F90" s="18">
        <v>1.0</v>
      </c>
      <c r="G90" s="19">
        <v>0.0</v>
      </c>
      <c r="H90" s="6">
        <f>E90*PV_SESSION+F90*PV_CHALLENGE+G90*PV_WIN</f>
        <v>35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3.0</v>
      </c>
      <c r="F91" s="18">
        <v>1.0</v>
      </c>
      <c r="G91" s="18">
        <v>1.0</v>
      </c>
      <c r="H91" s="6">
        <f>E91*PV_SESSION+F91*PV_CHALLENGE+G91*PV_WIN</f>
        <v>65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3.0</v>
      </c>
      <c r="F92" s="18">
        <v>1.0</v>
      </c>
      <c r="G92" s="19">
        <v>0.0</v>
      </c>
      <c r="H92" s="6">
        <f>E92*PV_SESSION+F92*PV_CHALLENGE+G92*PV_WIN</f>
        <v>35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3.0</v>
      </c>
      <c r="F93" s="19">
        <v>0.0</v>
      </c>
      <c r="G93" s="19">
        <v>0.0</v>
      </c>
      <c r="H93" s="6">
        <f>E93*PV_SESSION+F93*PV_CHALLENGE+G93*PV_WIN</f>
        <v>15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2.0</v>
      </c>
      <c r="F94" s="19">
        <v>0.0</v>
      </c>
      <c r="G94" s="19">
        <v>0.0</v>
      </c>
      <c r="H94" s="6">
        <f>E94*PV_SESSION+F94*PV_CHALLENGE+G94*PV_WIN</f>
        <v>10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4.0</v>
      </c>
      <c r="F98" s="18">
        <v>1.0</v>
      </c>
      <c r="G98" s="19">
        <v>0.0</v>
      </c>
      <c r="H98" s="6">
        <f>E98*PV_SESSION+F98*PV_CHALLENGE+G98*PV_WIN</f>
        <v>40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4.0</v>
      </c>
      <c r="F99" s="18">
        <v>1.0</v>
      </c>
      <c r="G99" s="19">
        <v>0.0</v>
      </c>
      <c r="H99" s="6">
        <f>E99*PV_SESSION+F99*PV_CHALLENGE+G99*PV_WIN</f>
        <v>40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4.0</v>
      </c>
      <c r="F100" s="18">
        <v>1.0</v>
      </c>
      <c r="G100" s="18">
        <v>1.0</v>
      </c>
      <c r="H100" s="6">
        <f>E100*PV_SESSION+F100*PV_CHALLENGE+G100*PV_WIN</f>
        <v>70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4.0</v>
      </c>
      <c r="F114" s="18">
        <v>1.0</v>
      </c>
      <c r="G114" s="19">
        <v>0.0</v>
      </c>
      <c r="H114" s="6">
        <f>E114*PV_SESSION+F114*PV_CHALLENGE+G114*PV_WIN</f>
        <v>40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3.0</v>
      </c>
      <c r="F116" s="18">
        <v>1.0</v>
      </c>
      <c r="G116" s="18">
        <v>1.0</v>
      </c>
      <c r="H116" s="6">
        <f>E116*PV_SESSION+F116*PV_CHALLENGE+G116*PV_WIN</f>
        <v>65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8">
        <v>3.0</v>
      </c>
      <c r="F117" s="18">
        <v>1.0</v>
      </c>
      <c r="G117" s="19">
        <v>0.0</v>
      </c>
      <c r="H117" s="6">
        <f>E117*PV_SESSION+F117*PV_CHALLENGE+G117*PV_WIN</f>
        <v>35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1.0</v>
      </c>
      <c r="F118" s="18">
        <v>1.0</v>
      </c>
      <c r="G118" s="19">
        <v>0.0</v>
      </c>
      <c r="H118" s="6">
        <f>E118*PV_SESSION+F118*PV_CHALLENGE+G118*PV_WIN</f>
        <v>25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3.0</v>
      </c>
      <c r="F119" s="19">
        <v>0.0</v>
      </c>
      <c r="G119" s="19">
        <v>0.0</v>
      </c>
      <c r="H119" s="6">
        <f>E119*PV_SESSION+F119*PV_CHALLENGE+G119*PV_WIN</f>
        <v>15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3.0</v>
      </c>
      <c r="F127" s="19">
        <v>0.0</v>
      </c>
      <c r="G127" s="19">
        <v>0.0</v>
      </c>
      <c r="H127" s="6">
        <f>E127*PV_SESSION+F127*PV_CHALLENGE+G127*PV_WIN</f>
        <v>15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8">
        <v>3.0</v>
      </c>
      <c r="F131" s="18">
        <v>1.0</v>
      </c>
      <c r="G131" s="19">
        <v>0.0</v>
      </c>
      <c r="H131" s="6">
        <f>E131*PV_SESSION+F131*PV_CHALLENGE+G131*PV_WIN</f>
        <v>35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4.0</v>
      </c>
      <c r="F140" s="18">
        <v>1.0</v>
      </c>
      <c r="G140" s="18">
        <v>1.0</v>
      </c>
      <c r="H140" s="6">
        <f>E140*PV_SESSION+F140*PV_CHALLENGE+G140*PV_WIN</f>
        <v>70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4.0</v>
      </c>
      <c r="F141" s="18">
        <v>1.0</v>
      </c>
      <c r="G141" s="18">
        <v>1.0</v>
      </c>
      <c r="H141" s="6">
        <f>E141*PV_SESSION+F141*PV_CHALLENGE+G141*PV_WIN</f>
        <v>70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8">
        <v>1.0</v>
      </c>
      <c r="G156" s="19">
        <v>0.0</v>
      </c>
      <c r="H156" s="6">
        <f>E156*PV_SESSION+F156*PV_CHALLENGE+G156*PV_WIN</f>
        <v>20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17" t="s">
        <v>275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17" t="s">
        <v>275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17" t="s">
        <v>275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17" t="s">
        <v>275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3.0</v>
      </c>
      <c r="F167" s="19">
        <v>0.0</v>
      </c>
      <c r="G167" s="19">
        <v>0.0</v>
      </c>
      <c r="H167" s="6">
        <f>E167*PV_SESSION+F167*PV_CHALLENGE+G167*PV_WIN</f>
        <v>15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3.0</v>
      </c>
      <c r="F168" s="18">
        <v>1.0</v>
      </c>
      <c r="G168" s="19">
        <v>0.0</v>
      </c>
      <c r="H168" s="6">
        <f>E168*PV_SESSION+F168*PV_CHALLENGE+G168*PV_WIN</f>
        <v>35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4.0</v>
      </c>
      <c r="F169" s="18">
        <v>1.0</v>
      </c>
      <c r="G169" s="19">
        <v>0.0</v>
      </c>
      <c r="H169" s="6">
        <f>E169*PV_SESSION+F169*PV_CHALLENGE+G169*PV_WIN</f>
        <v>40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4.0</v>
      </c>
      <c r="F170" s="18">
        <v>1.0</v>
      </c>
      <c r="G170" s="19">
        <v>0.0</v>
      </c>
      <c r="H170" s="6">
        <f>E170*PV_SESSION+F170*PV_CHALLENGE+G170*PV_WIN</f>
        <v>40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3.0</v>
      </c>
      <c r="F171" s="18">
        <v>1.0</v>
      </c>
      <c r="G171" s="18">
        <v>1.0</v>
      </c>
      <c r="H171" s="6">
        <f>E171*PV_SESSION+F171*PV_CHALLENGE+G171*PV_WIN</f>
        <v>65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3.0</v>
      </c>
      <c r="F172" s="19">
        <v>0.0</v>
      </c>
      <c r="G172" s="19">
        <v>0.0</v>
      </c>
      <c r="H172" s="6">
        <f>E172*PV_SESSION+F172*PV_CHALLENGE+G172*PV_WIN</f>
        <v>15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4.0</v>
      </c>
      <c r="F175" s="19">
        <v>0.0</v>
      </c>
      <c r="G175" s="19">
        <v>0.0</v>
      </c>
      <c r="H175" s="6">
        <f>E175*PV_SESSION+F175*PV_CHALLENGE+G175*PV_WIN</f>
        <v>20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4.0</v>
      </c>
      <c r="F176" s="18">
        <v>1.0</v>
      </c>
      <c r="G176" s="19">
        <v>0.0</v>
      </c>
      <c r="H176" s="6">
        <f>E176*PV_SESSION+F176*PV_CHALLENGE+G176*PV_WIN</f>
        <v>40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4.0</v>
      </c>
      <c r="F179" s="19">
        <v>0.0</v>
      </c>
      <c r="G179" s="19">
        <v>0.0</v>
      </c>
      <c r="H179" s="6">
        <f>E179*PV_SESSION+F179*PV_CHALLENGE+G179*PV_WIN</f>
        <v>20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2.0</v>
      </c>
      <c r="F180" s="19">
        <v>0.0</v>
      </c>
      <c r="G180" s="19">
        <v>0.0</v>
      </c>
      <c r="H180" s="6">
        <f>E180*PV_SESSION+F180*PV_CHALLENGE+G180*PV_WIN</f>
        <v>10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8">
        <v>1.0</v>
      </c>
      <c r="G182" s="19">
        <v>0.0</v>
      </c>
      <c r="H182" s="6">
        <f>E182*PV_SESSION+F182*PV_CHALLENGE+G182*PV_WIN</f>
        <v>20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8">
        <v>4.0</v>
      </c>
      <c r="F184" s="18">
        <v>1.0</v>
      </c>
      <c r="G184" s="19">
        <v>0.0</v>
      </c>
      <c r="H184" s="6">
        <f>E184*PV_SESSION+F184*PV_CHALLENGE+G184*PV_WIN</f>
        <v>40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8">
        <v>4.0</v>
      </c>
      <c r="F185" s="19">
        <v>0.0</v>
      </c>
      <c r="G185" s="19">
        <v>0.0</v>
      </c>
      <c r="H185" s="6">
        <f>E185*PV_SESSION+F185*PV_CHALLENGE+G185*PV_WIN</f>
        <v>20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3.0</v>
      </c>
      <c r="F186" s="18">
        <v>1.0</v>
      </c>
      <c r="G186" s="19">
        <v>0.0</v>
      </c>
      <c r="H186" s="6">
        <f>E186*PV_SESSION+F186*PV_CHALLENGE+G186*PV_WIN</f>
        <v>35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3.0</v>
      </c>
      <c r="F187" s="19">
        <v>0.0</v>
      </c>
      <c r="G187" s="19">
        <v>0.0</v>
      </c>
      <c r="H187" s="6">
        <f>E187*PV_SESSION+F187*PV_CHALLENGE+G187*PV_WIN</f>
        <v>15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3.0</v>
      </c>
      <c r="F190" s="18">
        <v>1.0</v>
      </c>
      <c r="G190" s="19">
        <v>0.0</v>
      </c>
      <c r="H190" s="6">
        <f>E190*PV_SESSION+F190*PV_CHALLENGE+G190*PV_WIN</f>
        <v>35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4.0</v>
      </c>
      <c r="F191" s="18">
        <v>1.0</v>
      </c>
      <c r="G191" s="19">
        <v>0.0</v>
      </c>
      <c r="H191" s="6">
        <f>E191*PV_SESSION+F191*PV_CHALLENGE+G191*PV_WIN</f>
        <v>40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3.0</v>
      </c>
      <c r="F192" s="18">
        <v>1.0</v>
      </c>
      <c r="G192" s="19">
        <v>0.0</v>
      </c>
      <c r="H192" s="6">
        <f>E192*PV_SESSION+F192*PV_CHALLENGE+G192*PV_WIN</f>
        <v>35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8">
        <v>1.0</v>
      </c>
      <c r="G193" s="19">
        <v>0.0</v>
      </c>
      <c r="H193" s="6">
        <f>E193*PV_SESSION+F193*PV_CHALLENGE+G193*PV_WIN</f>
        <v>20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8">
        <v>3.0</v>
      </c>
      <c r="F200" s="18">
        <v>1.0</v>
      </c>
      <c r="G200" s="19">
        <v>0.0</v>
      </c>
      <c r="H200" s="6">
        <f>E200*PV_SESSION+F200*PV_CHALLENGE+G200*PV_WIN</f>
        <v>35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4.0</v>
      </c>
      <c r="F206" s="18">
        <v>1.0</v>
      </c>
      <c r="G206" s="19">
        <v>0.0</v>
      </c>
      <c r="H206" s="6">
        <f>E206*PV_SESSION+F206*PV_CHALLENGE+G206*PV_WIN</f>
        <v>40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2.0</v>
      </c>
      <c r="F207" s="18">
        <v>1.0</v>
      </c>
      <c r="G207" s="19">
        <v>0.0</v>
      </c>
      <c r="H207" s="6">
        <f>E207*PV_SESSION+F207*PV_CHALLENGE+G207*PV_WIN</f>
        <v>30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4.0</v>
      </c>
      <c r="F208" s="19">
        <v>0.0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3.0</v>
      </c>
      <c r="F209" s="19">
        <v>0.0</v>
      </c>
      <c r="G209" s="19">
        <v>0.0</v>
      </c>
      <c r="H209" s="6">
        <f>E209*PV_SESSION+F209*PV_CHALLENGE+G209*PV_WIN</f>
        <v>15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4.0</v>
      </c>
      <c r="F212" s="19">
        <v>0.0</v>
      </c>
      <c r="G212" s="19">
        <v>0.0</v>
      </c>
      <c r="H212" s="6">
        <f>E212*PV_SESSION+F212*PV_CHALLENGE+G212*PV_WIN</f>
        <v>20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8">
        <v>4.0</v>
      </c>
      <c r="F213" s="18">
        <v>1.0</v>
      </c>
      <c r="G213" s="19">
        <v>0.0</v>
      </c>
      <c r="H213" s="6">
        <f>E213*PV_SESSION+F213*PV_CHALLENGE+G213*PV_WIN</f>
        <v>40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2.0</v>
      </c>
      <c r="F214" s="18">
        <v>1.0</v>
      </c>
      <c r="G214" s="19">
        <v>0.0</v>
      </c>
      <c r="H214" s="6">
        <f>E214*PV_SESSION+F214*PV_CHALLENGE+G214*PV_WIN</f>
        <v>30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2.0</v>
      </c>
      <c r="F216" s="18">
        <v>1.0</v>
      </c>
      <c r="G216" s="19">
        <v>0.0</v>
      </c>
      <c r="H216" s="6">
        <f>E216*PV_SESSION+F216*PV_CHALLENGE+G216*PV_WIN</f>
        <v>30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1.0</v>
      </c>
      <c r="F217" s="19">
        <v>0.0</v>
      </c>
      <c r="G217" s="19">
        <v>0.0</v>
      </c>
      <c r="H217" s="6">
        <f>E217*PV_SESSION+F217*PV_CHALLENGE+G217*PV_WIN</f>
        <v>5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20" t="s">
        <v>494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276</v>
      </c>
      <c r="D1" s="3" t="s">
        <v>277</v>
      </c>
      <c r="E1" s="3" t="s">
        <v>490</v>
      </c>
      <c r="F1" s="3" t="s">
        <v>491</v>
      </c>
      <c r="G1" s="3" t="s">
        <v>492</v>
      </c>
      <c r="H1" s="3" t="s">
        <v>493</v>
      </c>
    </row>
    <row r="2">
      <c r="A2" s="7" t="s">
        <v>79</v>
      </c>
      <c r="B2" s="7" t="s">
        <v>80</v>
      </c>
      <c r="C2" s="7" t="s">
        <v>278</v>
      </c>
      <c r="D2" s="7" t="s">
        <v>279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280</v>
      </c>
      <c r="D3" s="7" t="s">
        <v>281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282</v>
      </c>
      <c r="D4" s="7" t="s">
        <v>281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283</v>
      </c>
      <c r="D5" s="7" t="s">
        <v>281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284</v>
      </c>
      <c r="D6" s="7" t="s">
        <v>279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285</v>
      </c>
      <c r="D7" s="7" t="s">
        <v>281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286</v>
      </c>
      <c r="D8" s="7" t="s">
        <v>279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287</v>
      </c>
      <c r="D9" s="7" t="s">
        <v>281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288</v>
      </c>
      <c r="D10" s="7" t="s">
        <v>279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289</v>
      </c>
      <c r="D11" s="7" t="s">
        <v>281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290</v>
      </c>
      <c r="D12" s="7" t="s">
        <v>279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291</v>
      </c>
      <c r="D13" s="7" t="s">
        <v>281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292</v>
      </c>
      <c r="D14" s="7" t="s">
        <v>279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293</v>
      </c>
      <c r="D15" s="7" t="s">
        <v>281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294</v>
      </c>
      <c r="D16" s="7" t="s">
        <v>279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295</v>
      </c>
      <c r="D17" s="7" t="s">
        <v>281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296</v>
      </c>
      <c r="D18" s="7" t="s">
        <v>281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297</v>
      </c>
      <c r="D19" s="7" t="s">
        <v>281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298</v>
      </c>
      <c r="D20" s="7" t="s">
        <v>279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299</v>
      </c>
      <c r="D21" s="7" t="s">
        <v>281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300</v>
      </c>
      <c r="D22" s="7" t="s">
        <v>281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301</v>
      </c>
      <c r="D23" s="7" t="s">
        <v>279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302</v>
      </c>
      <c r="D24" s="7" t="s">
        <v>281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303</v>
      </c>
      <c r="D25" s="7" t="s">
        <v>279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304</v>
      </c>
      <c r="D26" s="7" t="s">
        <v>281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305</v>
      </c>
      <c r="D27" s="7" t="s">
        <v>281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306</v>
      </c>
      <c r="D28" s="7" t="s">
        <v>281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307</v>
      </c>
      <c r="D29" s="7" t="s">
        <v>279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308</v>
      </c>
      <c r="D30" s="7" t="s">
        <v>281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309</v>
      </c>
      <c r="D31" s="7" t="s">
        <v>281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310</v>
      </c>
      <c r="D32" s="7" t="s">
        <v>281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311</v>
      </c>
      <c r="D33" s="7" t="s">
        <v>279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312</v>
      </c>
      <c r="D34" s="7" t="s">
        <v>281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313</v>
      </c>
      <c r="D35" s="7" t="s">
        <v>279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314</v>
      </c>
      <c r="D36" s="7" t="s">
        <v>281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315</v>
      </c>
      <c r="D37" s="7" t="s">
        <v>281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316</v>
      </c>
      <c r="D38" s="7" t="s">
        <v>279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317</v>
      </c>
      <c r="D39" s="7" t="s">
        <v>281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318</v>
      </c>
      <c r="D40" s="7" t="s">
        <v>279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319</v>
      </c>
      <c r="D41" s="7" t="s">
        <v>281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320</v>
      </c>
      <c r="D42" s="7" t="s">
        <v>281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321</v>
      </c>
      <c r="D43" s="7" t="s">
        <v>279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322</v>
      </c>
      <c r="D44" s="7" t="s">
        <v>281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323</v>
      </c>
      <c r="D45" s="7" t="s">
        <v>281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324</v>
      </c>
      <c r="D46" s="7" t="s">
        <v>279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325</v>
      </c>
      <c r="D47" s="7" t="s">
        <v>281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326</v>
      </c>
      <c r="D48" s="7" t="s">
        <v>281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327</v>
      </c>
      <c r="D49" s="7" t="s">
        <v>279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328</v>
      </c>
      <c r="D50" s="7" t="s">
        <v>281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329</v>
      </c>
      <c r="D51" s="7" t="s">
        <v>279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330</v>
      </c>
      <c r="D52" s="7" t="s">
        <v>281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331</v>
      </c>
      <c r="D53" s="7" t="s">
        <v>279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332</v>
      </c>
      <c r="D54" s="7" t="s">
        <v>281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333</v>
      </c>
      <c r="D55" s="7" t="s">
        <v>281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334</v>
      </c>
      <c r="D56" s="7" t="s">
        <v>279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335</v>
      </c>
      <c r="D57" s="7" t="s">
        <v>279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336</v>
      </c>
      <c r="D58" s="7" t="s">
        <v>281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337</v>
      </c>
      <c r="D59" s="7" t="s">
        <v>279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338</v>
      </c>
      <c r="D60" s="7" t="s">
        <v>281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339</v>
      </c>
      <c r="D61" s="7" t="s">
        <v>279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340</v>
      </c>
      <c r="D62" s="7" t="s">
        <v>279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341</v>
      </c>
      <c r="D63" s="7" t="s">
        <v>279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342</v>
      </c>
      <c r="D64" s="7" t="s">
        <v>279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343</v>
      </c>
      <c r="D65" s="7" t="s">
        <v>279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344</v>
      </c>
      <c r="D66" s="7" t="s">
        <v>279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345</v>
      </c>
      <c r="D67" s="7" t="s">
        <v>281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346</v>
      </c>
      <c r="D68" s="7" t="s">
        <v>279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347</v>
      </c>
      <c r="D69" s="7" t="s">
        <v>281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348</v>
      </c>
      <c r="D70" s="7" t="s">
        <v>279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349</v>
      </c>
      <c r="D71" s="7" t="s">
        <v>279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350</v>
      </c>
      <c r="D72" s="7" t="s">
        <v>279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351</v>
      </c>
      <c r="D73" s="7" t="s">
        <v>281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352</v>
      </c>
      <c r="D74" s="7" t="s">
        <v>279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353</v>
      </c>
      <c r="D75" s="7" t="s">
        <v>281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354</v>
      </c>
      <c r="D76" s="7" t="s">
        <v>279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355</v>
      </c>
      <c r="D77" s="7" t="s">
        <v>281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356</v>
      </c>
      <c r="D78" s="7" t="s">
        <v>281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357</v>
      </c>
      <c r="D79" s="7" t="s">
        <v>279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358</v>
      </c>
      <c r="D80" s="7" t="s">
        <v>279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359</v>
      </c>
      <c r="D81" s="7" t="s">
        <v>281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360</v>
      </c>
      <c r="D82" s="7" t="s">
        <v>281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361</v>
      </c>
      <c r="D83" s="7" t="s">
        <v>279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362</v>
      </c>
      <c r="D84" s="7" t="s">
        <v>281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363</v>
      </c>
      <c r="D85" s="7" t="s">
        <v>279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364</v>
      </c>
      <c r="D86" s="7" t="s">
        <v>281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365</v>
      </c>
      <c r="D87" s="7" t="s">
        <v>279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366</v>
      </c>
      <c r="D88" s="7" t="s">
        <v>281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367</v>
      </c>
      <c r="D89" s="7" t="s">
        <v>279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368</v>
      </c>
      <c r="D90" s="7" t="s">
        <v>279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369</v>
      </c>
      <c r="D91" s="7" t="s">
        <v>281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370</v>
      </c>
      <c r="D92" s="7" t="s">
        <v>281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289</v>
      </c>
      <c r="D93" s="7" t="s">
        <v>279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371</v>
      </c>
      <c r="D94" s="7" t="s">
        <v>281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372</v>
      </c>
      <c r="D95" s="7" t="s">
        <v>279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373</v>
      </c>
      <c r="D96" s="7" t="s">
        <v>281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374</v>
      </c>
      <c r="D97" s="7" t="s">
        <v>279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375</v>
      </c>
      <c r="D98" s="7" t="s">
        <v>279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376</v>
      </c>
      <c r="D99" s="7" t="s">
        <v>281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377</v>
      </c>
      <c r="D100" s="7" t="s">
        <v>281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378</v>
      </c>
      <c r="D101" s="7" t="s">
        <v>279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379</v>
      </c>
      <c r="D102" s="7" t="s">
        <v>281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380</v>
      </c>
      <c r="D103" s="7" t="s">
        <v>281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381</v>
      </c>
      <c r="D104" s="7" t="s">
        <v>279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382</v>
      </c>
      <c r="D105" s="7" t="s">
        <v>281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383</v>
      </c>
      <c r="D106" s="7" t="s">
        <v>279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384</v>
      </c>
      <c r="D107" s="7" t="s">
        <v>281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385</v>
      </c>
      <c r="D108" s="7" t="s">
        <v>281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386</v>
      </c>
      <c r="D109" s="7" t="s">
        <v>281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387</v>
      </c>
      <c r="D110" s="7" t="s">
        <v>279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388</v>
      </c>
      <c r="D111" s="7" t="s">
        <v>281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389</v>
      </c>
      <c r="D112" s="7" t="s">
        <v>279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390</v>
      </c>
      <c r="D113" s="7" t="s">
        <v>281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391</v>
      </c>
      <c r="D114" s="7" t="s">
        <v>279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392</v>
      </c>
      <c r="D115" s="7" t="s">
        <v>281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393</v>
      </c>
      <c r="D116" s="7" t="s">
        <v>281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394</v>
      </c>
      <c r="D117" s="7" t="s">
        <v>279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395</v>
      </c>
      <c r="D118" s="7" t="s">
        <v>281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396</v>
      </c>
      <c r="D119" s="7" t="s">
        <v>281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397</v>
      </c>
      <c r="D120" s="7" t="s">
        <v>279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398</v>
      </c>
      <c r="D121" s="7" t="s">
        <v>279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399</v>
      </c>
      <c r="D122" s="7" t="s">
        <v>279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400</v>
      </c>
      <c r="D123" s="7" t="s">
        <v>279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401</v>
      </c>
      <c r="D124" s="7" t="s">
        <v>279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402</v>
      </c>
      <c r="D125" s="7" t="s">
        <v>281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403</v>
      </c>
      <c r="D126" s="7" t="s">
        <v>279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404</v>
      </c>
      <c r="D127" s="7" t="s">
        <v>279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405</v>
      </c>
      <c r="D128" s="7" t="s">
        <v>279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406</v>
      </c>
      <c r="D129" s="7" t="s">
        <v>281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407</v>
      </c>
      <c r="D130" s="7" t="s">
        <v>279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408</v>
      </c>
      <c r="D131" s="7" t="s">
        <v>279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409</v>
      </c>
      <c r="D132" s="7" t="s">
        <v>281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410</v>
      </c>
      <c r="D133" s="7" t="s">
        <v>281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411</v>
      </c>
      <c r="D134" s="7" t="s">
        <v>279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412</v>
      </c>
      <c r="D135" s="7" t="s">
        <v>281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413</v>
      </c>
      <c r="D136" s="7" t="s">
        <v>281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414</v>
      </c>
      <c r="D137" s="7" t="s">
        <v>279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415</v>
      </c>
      <c r="D138" s="7" t="s">
        <v>279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416</v>
      </c>
      <c r="D139" s="7" t="s">
        <v>281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417</v>
      </c>
      <c r="D140" s="7" t="s">
        <v>279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417</v>
      </c>
      <c r="D141" s="7" t="s">
        <v>281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418</v>
      </c>
      <c r="D142" s="7" t="s">
        <v>279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419</v>
      </c>
      <c r="D143" s="7" t="s">
        <v>281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420</v>
      </c>
      <c r="D144" s="7" t="s">
        <v>281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421</v>
      </c>
      <c r="D145" s="7" t="s">
        <v>281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422</v>
      </c>
      <c r="D146" s="7" t="s">
        <v>279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423</v>
      </c>
      <c r="D147" s="7" t="s">
        <v>281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424</v>
      </c>
      <c r="D148" s="7" t="s">
        <v>281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425</v>
      </c>
      <c r="D149" s="7" t="s">
        <v>281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426</v>
      </c>
      <c r="D150" s="7" t="s">
        <v>279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427</v>
      </c>
      <c r="D151" s="7" t="s">
        <v>281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428</v>
      </c>
      <c r="D152" s="7" t="s">
        <v>281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429</v>
      </c>
      <c r="D153" s="7" t="s">
        <v>279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430</v>
      </c>
      <c r="D154" s="7" t="s">
        <v>281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431</v>
      </c>
      <c r="D155" s="7" t="s">
        <v>281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432</v>
      </c>
      <c r="D156" s="7" t="s">
        <v>281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433</v>
      </c>
      <c r="D157" s="7" t="s">
        <v>279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434</v>
      </c>
      <c r="D158" s="7" t="s">
        <v>281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435</v>
      </c>
      <c r="D159" s="7" t="s">
        <v>279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436</v>
      </c>
      <c r="D160" s="7" t="s">
        <v>281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437</v>
      </c>
      <c r="D161" s="7" t="s">
        <v>279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438</v>
      </c>
      <c r="D162" s="7" t="s">
        <v>281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439</v>
      </c>
      <c r="D163" s="7" t="s">
        <v>281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440</v>
      </c>
      <c r="D164" s="7" t="s">
        <v>281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441</v>
      </c>
      <c r="D165" s="7" t="s">
        <v>279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442</v>
      </c>
      <c r="D166" s="7" t="s">
        <v>281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443</v>
      </c>
      <c r="D167" s="7" t="s">
        <v>279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444</v>
      </c>
      <c r="D168" s="7" t="s">
        <v>281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445</v>
      </c>
      <c r="D169" s="7" t="s">
        <v>279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446</v>
      </c>
      <c r="D170" s="7" t="s">
        <v>281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447</v>
      </c>
      <c r="D171" s="7" t="s">
        <v>279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448</v>
      </c>
      <c r="D172" s="7" t="s">
        <v>281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449</v>
      </c>
      <c r="D173" s="7" t="s">
        <v>279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450</v>
      </c>
      <c r="D174" s="7" t="s">
        <v>281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301</v>
      </c>
      <c r="D175" s="7" t="s">
        <v>279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451</v>
      </c>
      <c r="D176" s="7" t="s">
        <v>281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452</v>
      </c>
      <c r="D177" s="7" t="s">
        <v>279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453</v>
      </c>
      <c r="D178" s="7" t="s">
        <v>281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294</v>
      </c>
      <c r="D179" s="7" t="s">
        <v>279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454</v>
      </c>
      <c r="D180" s="7" t="s">
        <v>281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455</v>
      </c>
      <c r="D181" s="7" t="s">
        <v>281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456</v>
      </c>
      <c r="D182" s="7" t="s">
        <v>281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457</v>
      </c>
      <c r="D183" s="7" t="s">
        <v>279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458</v>
      </c>
      <c r="D184" s="7" t="s">
        <v>279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459</v>
      </c>
      <c r="D185" s="7" t="s">
        <v>281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460</v>
      </c>
      <c r="D186" s="7" t="s">
        <v>281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461</v>
      </c>
      <c r="D187" s="7" t="s">
        <v>281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462</v>
      </c>
      <c r="D188" s="7" t="s">
        <v>279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463</v>
      </c>
      <c r="D189" s="7" t="s">
        <v>281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464</v>
      </c>
      <c r="D190" s="7" t="s">
        <v>279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465</v>
      </c>
      <c r="D191" s="7" t="s">
        <v>281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466</v>
      </c>
      <c r="D192" s="7" t="s">
        <v>281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467</v>
      </c>
      <c r="D193" s="7" t="s">
        <v>279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468</v>
      </c>
      <c r="D194" s="7" t="s">
        <v>281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469</v>
      </c>
      <c r="D195" s="7" t="s">
        <v>279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470</v>
      </c>
      <c r="D196" s="7" t="s">
        <v>281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471</v>
      </c>
      <c r="D197" s="7" t="s">
        <v>281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472</v>
      </c>
      <c r="D198" s="7" t="s">
        <v>281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473</v>
      </c>
      <c r="D199" s="7" t="s">
        <v>279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474</v>
      </c>
      <c r="D200" s="7" t="s">
        <v>281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475</v>
      </c>
      <c r="D201" s="7" t="s">
        <v>279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476</v>
      </c>
      <c r="D202" s="7" t="s">
        <v>281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477</v>
      </c>
      <c r="D203" s="7" t="s">
        <v>281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478</v>
      </c>
      <c r="D204" s="7" t="s">
        <v>279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479</v>
      </c>
      <c r="D205" s="7" t="s">
        <v>281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480</v>
      </c>
      <c r="D206" s="7" t="s">
        <v>279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481</v>
      </c>
      <c r="D207" s="7" t="s">
        <v>281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444</v>
      </c>
      <c r="D208" s="7" t="s">
        <v>281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464</v>
      </c>
      <c r="D209" s="7" t="s">
        <v>281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482</v>
      </c>
      <c r="D210" s="7" t="s">
        <v>279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483</v>
      </c>
      <c r="D211" s="7" t="s">
        <v>281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484</v>
      </c>
      <c r="D212" s="7" t="s">
        <v>279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485</v>
      </c>
      <c r="D213" s="7" t="s">
        <v>281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486</v>
      </c>
      <c r="D214" s="7" t="s">
        <v>279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487</v>
      </c>
      <c r="D215" s="7" t="s">
        <v>281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488</v>
      </c>
      <c r="D216" s="7" t="s">
        <v>281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489</v>
      </c>
      <c r="D217" s="7" t="s">
        <v>281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1.0</v>
      </c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55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10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>
        <v>0.0</v>
      </c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>
        <v>0.0</v>
      </c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8">
        <v>1.0</v>
      </c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55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21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65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8">
        <v>1.0</v>
      </c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55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10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8">
        <v>1.0</v>
      </c>
      <c r="E75" s="19">
        <v>0.0</v>
      </c>
      <c r="F75" s="18">
        <v>1.0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45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65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7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>
        <v>0.0</v>
      </c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>
        <v>0.0</v>
      </c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8">
        <v>3.0</v>
      </c>
      <c r="F2" s="18">
        <v>2.0</v>
      </c>
      <c r="G2" s="19">
        <v>0.0</v>
      </c>
      <c r="H2" s="18">
        <v>1.0</v>
      </c>
      <c r="I2" s="19">
        <v>0.0</v>
      </c>
      <c r="J2" s="19">
        <v>0.0</v>
      </c>
      <c r="K2" s="6">
        <f>C2*PV_UPDATE+D2*PV_DEPLOY+E2*PV_HELP+F2*PV_BLOG+G2*PV_PR+H2*PV_BUILDNIGHT+I2*PV_MENTOR+J2*PV_DEMO</f>
        <v>110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8">
        <v>2.0</v>
      </c>
      <c r="F3" s="18">
        <v>2.0</v>
      </c>
      <c r="G3" s="18">
        <v>1.0</v>
      </c>
      <c r="H3" s="18">
        <v>1.0</v>
      </c>
      <c r="I3" s="19">
        <v>0.0</v>
      </c>
      <c r="J3" s="19">
        <v>0.0</v>
      </c>
      <c r="K3" s="6">
        <f>C3*PV_UPDATE+D3*PV_DEPLOY+E3*PV_HELP+F3*PV_BLOG+G3*PV_PR+H3*PV_BUILDNIGHT+I3*PV_MENTOR+J3*PV_DEMO</f>
        <v>125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8">
        <v>1.0</v>
      </c>
      <c r="E8" s="18">
        <v>1.0</v>
      </c>
      <c r="F8" s="18">
        <v>2.0</v>
      </c>
      <c r="G8" s="19">
        <v>0.0</v>
      </c>
      <c r="H8" s="18">
        <v>1.0</v>
      </c>
      <c r="I8" s="19">
        <v>0.0</v>
      </c>
      <c r="J8" s="19">
        <v>0.0</v>
      </c>
      <c r="K8" s="6">
        <f>C8*PV_UPDATE+D8*PV_DEPLOY+E8*PV_HELP+F8*PV_BLOG+G8*PV_PR+H8*PV_BUILDNIGHT+I8*PV_MENTOR+J8*PV_DEMO</f>
        <v>90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8">
        <v>2.0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40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8">
        <v>4.0</v>
      </c>
      <c r="F12" s="18">
        <v>2.0</v>
      </c>
      <c r="G12" s="19">
        <v>0.0</v>
      </c>
      <c r="H12" s="18">
        <v>1.0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120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8">
        <v>0.0</v>
      </c>
      <c r="E16" s="19">
        <v>0.0</v>
      </c>
      <c r="F16" s="19">
        <v>0.0</v>
      </c>
      <c r="G16" s="19">
        <v>0.0</v>
      </c>
      <c r="H16" s="18">
        <v>1.0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25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8">
        <v>1.0</v>
      </c>
      <c r="F20" s="18">
        <v>2.0</v>
      </c>
      <c r="G20" s="18">
        <v>1.0</v>
      </c>
      <c r="H20" s="18">
        <v>1.0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90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8">
        <v>1.0</v>
      </c>
      <c r="F30" s="18">
        <v>1.0</v>
      </c>
      <c r="G30" s="18">
        <v>4.0</v>
      </c>
      <c r="H30" s="18">
        <v>1.0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170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8">
        <v>1.0</v>
      </c>
      <c r="E39" s="19">
        <v>0.0</v>
      </c>
      <c r="F39" s="18">
        <v>1.0</v>
      </c>
      <c r="G39" s="19">
        <v>0.0</v>
      </c>
      <c r="H39" s="18">
        <v>1.0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60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8">
        <v>1.0</v>
      </c>
      <c r="F43" s="19">
        <v>0.0</v>
      </c>
      <c r="G43" s="19">
        <v>0.0</v>
      </c>
      <c r="H43" s="18">
        <v>1.0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50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17" t="s">
        <v>504</v>
      </c>
      <c r="C47" s="18">
        <v>1.0</v>
      </c>
      <c r="D47" s="18">
        <v>1.0</v>
      </c>
      <c r="E47" s="19">
        <v>0.0</v>
      </c>
      <c r="F47" s="18">
        <v>2.0</v>
      </c>
      <c r="G47" s="19">
        <v>0.0</v>
      </c>
      <c r="H47" s="18">
        <v>1.0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80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8">
        <v>1.0</v>
      </c>
      <c r="E53" s="19">
        <v>0.0</v>
      </c>
      <c r="F53" s="18">
        <v>2.0</v>
      </c>
      <c r="G53" s="19">
        <v>0.0</v>
      </c>
      <c r="H53" s="18">
        <v>1.0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80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>
        <v>0.0</v>
      </c>
      <c r="F54" s="18">
        <v>1.0</v>
      </c>
      <c r="G54" s="19">
        <v>0.0</v>
      </c>
      <c r="H54" s="18">
        <v>1.0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60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8">
        <v>1.0</v>
      </c>
      <c r="G64" s="19">
        <v>0.0</v>
      </c>
      <c r="H64" s="18">
        <v>1.0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35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1.0</v>
      </c>
      <c r="D68" s="18">
        <v>1.0</v>
      </c>
      <c r="E68" s="19">
        <v>0.0</v>
      </c>
      <c r="F68" s="19">
        <v>0.0</v>
      </c>
      <c r="G68" s="19">
        <v>0.0</v>
      </c>
      <c r="H68" s="18">
        <v>1.0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40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17" t="s">
        <v>275</v>
      </c>
      <c r="C75" s="18">
        <v>1.0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10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8">
        <v>1.0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15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2.0</v>
      </c>
      <c r="G78" s="19">
        <v>0.0</v>
      </c>
      <c r="H78" s="18">
        <v>1.0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80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8">
        <v>1.0</v>
      </c>
      <c r="F79" s="18">
        <v>2.0</v>
      </c>
      <c r="G79" s="18">
        <v>2.0</v>
      </c>
      <c r="H79" s="18">
        <v>1.0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140</v>
      </c>
    </row>
    <row r="80" ht="15.75" customHeight="1">
      <c r="A80" s="7" t="s">
        <v>239</v>
      </c>
      <c r="B80" s="7" t="s">
        <v>240</v>
      </c>
      <c r="C80" s="19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8">
        <v>1.0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60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1.0</v>
      </c>
      <c r="D83" s="18">
        <v>1.0</v>
      </c>
      <c r="E83" s="18">
        <v>1.0</v>
      </c>
      <c r="F83" s="18">
        <v>2.0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75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8">
        <v>2.0</v>
      </c>
      <c r="F85" s="18">
        <v>1.0</v>
      </c>
      <c r="G85" s="19">
        <v>0.0</v>
      </c>
      <c r="H85" s="18">
        <v>1.0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80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8">
        <v>1.0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15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8">
        <v>2.0</v>
      </c>
      <c r="F93" s="18">
        <v>1.0</v>
      </c>
      <c r="G93" s="19">
        <v>0.0</v>
      </c>
      <c r="H93" s="18">
        <v>1.0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80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8">
        <v>1.0</v>
      </c>
      <c r="F95" s="19">
        <v>0.0</v>
      </c>
      <c r="G95" s="19">
        <v>0.0</v>
      </c>
      <c r="H95" s="18">
        <v>1.0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50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495</v>
      </c>
      <c r="D1" s="3" t="s">
        <v>496</v>
      </c>
      <c r="E1" s="3" t="s">
        <v>497</v>
      </c>
      <c r="F1" s="3" t="s">
        <v>498</v>
      </c>
      <c r="G1" s="3" t="s">
        <v>499</v>
      </c>
      <c r="H1" s="3" t="s">
        <v>500</v>
      </c>
      <c r="I1" s="3" t="s">
        <v>501</v>
      </c>
      <c r="J1" s="3" t="s">
        <v>502</v>
      </c>
      <c r="K1" s="3" t="s">
        <v>503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