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<sst xmlns="http://schemas.openxmlformats.org/spreadsheetml/2006/main" count="7967" uniqueCount="505">
  <si>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</si>
  <si>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</si>
  <si>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</si>
  <si>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</si>
  <si>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</si>
  <si>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</si>
  <si>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</si>
  <si>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</si>
  <si>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</si>
  <si>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</si>
  <si>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</si>
  <si>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</si>
  <si>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</si>
  <si>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</si>
  <si>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</si>
  <si>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</si>
  <si>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</si>
  <si>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</si>
  <si>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</si>
  <si>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</si>
  <si>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</si>
  <si>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</si>
  <si>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</si>
  <si>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</si>
  <si>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</si>
  <si>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</si>
  <si>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</si>
  <si>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</si>
  <si>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</si>
  <si>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</si>
  <si>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</si>
  <si>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</si>
  <si>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</si>
  <si>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</si>
  <si>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</si>
  <si>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</si>
  <si>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</si>
  <si>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</si>
  <si>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</si>
  <si>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</si>
  <si>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</si>
  <si>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</si>
  <si>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</si>
  <si>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</si>
  <si>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</si>
  <si>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</si>
  <si>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</si>
  <si>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</si>
  <si>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</si>
  <si>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</si>
  <si>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</si>
  <si>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</si>
  <si>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</si>
  <si>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</si>
  <si>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</si>
  <si>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</si>
  <si>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</si>
  <si>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</si>
  <si>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</si>
  <si>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</si>
  <si>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</si>
  <si>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</si>
  <si>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</si>
  <si>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</si>
  <si>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</si>
  <si>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</si>
  <si>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</si>
  <si>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</si>
  <si>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</si>
  <si>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</si>
  <si>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</si>
  <si>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</si>
  <si>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</si>
  <si>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</si>
  <si>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</si>
  <si>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</si>
  <si>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</si>
  <si>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</si>
  <si>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</si>
  <si>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</si>
  <si>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</si>
  <si>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</si>
  <si>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</si>
  <si>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</si>
  <si>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</si>
  <si>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</si>
  <si>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</si>
  <si>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</si>
  <si>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</si>
  <si>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</si>
  <si>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</si>
  <si>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</si>
  <si>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</si>
  <si>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</si>
  <si>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</si>
  <si>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</si>
  <si>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</si>
  <si>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</si>
  <si>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</si>
  <si>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</si>
  <si>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</si>
  <si>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</si>
  <si>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</si>
  <si>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</si>
  <si>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</si>
  <si>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</si>
  <si>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</si>
  <si>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</si>
  <si>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</si>
  <si>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</si>
  <si>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</si>
  <si>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</si>
  <si>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</si>
  <si>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</si>
  <si>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</si>
  <si>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</si>
  <si>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</si>
  <si>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</si>
  <si>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</si>
  <si>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</si>
  <si>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</si>
  <si>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</si>
  <si>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</si>
  <si>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</si>
  <si>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</si>
  <si>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</si>
  <si>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</si>
  <si>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</si>
  <si>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</si>
  <si>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</si>
  <si>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</si>
  <si>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</si>
  <si>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</si>
  <si>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</si>
  <si>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</si>
  <si>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</si>
  <si>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</si>
  <si>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</si>
  <si>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</si>
  <si>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</si>
  <si>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</si>
  <si>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</si>
  <si>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</si>
  <si>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</si>
  <si>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</si>
  <si>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</si>
  <si>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</si>
  <si>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</si>
  <si>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</si>
  <si>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</si>
  <si>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</si>
  <si>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</si>
  <si>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</si>
  <si>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</si>
  <si>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</si>
  <si>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</si>
  <si>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</si>
  <si>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</si>
  <si>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</si>
  <si>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</si>
  <si>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</si>
  <si>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</si>
  <si>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</si>
  <si>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</si>
  <si>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</si>
  <si>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</si>
  <si>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</si>
  <si>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</si>
  <si>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</si>
  <si>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</si>
  <si>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</si>
  <si>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</si>
  <si>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</si>
  <si>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</si>
  <si>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</si>
  <si>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</si>
  <si>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</si>
  <si>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</si>
  <si>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</si>
  <si>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</si>
  <si>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</si>
  <si>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</si>
  <si>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</si>
  <si>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</si>
  <si>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</si>
  <si>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</si>
  <si>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</si>
  <si>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</si>
  <si>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</si>
  <si>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</si>
  <si>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</si>
  <si>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</si>
  <si>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</si>
  <si>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</si>
  <si>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</si>
  <si>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</si>
  <si>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</si>
  <si>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</si>
  <si>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</si>
  <si>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</si>
  <si>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</si>
  <si>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</si>
  <si>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</si>
  <si>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</si>
  <si>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</si>
  <si>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</si>
  <si>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</si>
  <si>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</si>
  <si>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</si>
  <si>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</si>
  <si>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</si>
  <si>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</si>
  <si>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</si>
  <si>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</si>
  <si>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</si>
  <si>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</si>
  <si>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</si>
  <si>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</si>
  <si>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</si>
  <si>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</si>
  <si>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</si>
  <si>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</si>
  <si>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</si>
  <si>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</si>
  <si>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</si>
  <si>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</si>
  <si>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</si>
  <si>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</si>
  <si>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</si>
  <si>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</si>
  <si>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</si>
  <si>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</si>
  <si>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</si>
  <si>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</si>
  <si>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</si>
  <si>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</si>
  <si>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</si>
  <si>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</si>
  <si>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</si>
  <si>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</si>
  <si>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</si>
  <si>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</si>
  <si>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</si>
  <si>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</si>
  <si>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</si>
  <si>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</si>
  <si>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</si>
  <si>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</si>
  <si>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</si>
  <si>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</si>
  <si>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</si>
  <si>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</si>
  <si>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</si>
  <si>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</si>
  <si>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</si>
  <si>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</si>
  <si>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</si>
  <si>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</si>
  <si>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</si>
  <si>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</si>
  <si>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</si>
  <si>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</si>
  <si>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</si>
  <si>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</si>
  <si>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</si>
  <si>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</si>
  <si>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</si>
  <si>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</si>
  <si>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</si>
  <si>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</si>
  <si>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</si>
  <si>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</si>
  <si>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</si>
  <si>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</si>
  <si>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</si>
  <si>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</si>
  <si>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</si>
  <si>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</si>
  <si>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</si>
  <si>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</si>
  <si>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</si>
  <si>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</si>
  <si>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</si>
  <si>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</si>
  <si>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</si>
  <si>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</si>
  <si>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</si>
  <si>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</si>
  <si>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</si>
  <si>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</si>
  <si>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</si>
  <si>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</si>
  <si>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</si>
  <si>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</si>
  <si>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</si>
  <si>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</si>
  <si>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</si>
  <si>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</si>
  <si>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</si>
  <si>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</si>
  <si>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</si>
  <si>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</si>
  <si>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</si>
  <si>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</si>
  <si>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</si>
  <si>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</si>
  <si>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</si>
  <si>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</si>
  <si>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</si>
  <si>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</si>
  <si>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</si>
  <si>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</si>
  <si>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</si>
  <si>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</si>
  <si>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</si>
  <si>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</si>
  <si>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</si>
  <si>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</si>
  <si>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</si>
  <si>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</si>
  <si>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</si>
  <si>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</si>
  <si>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</si>
  <si>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</si>
  <si>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</si>
  <si>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</si>
  <si>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</si>
  <si>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</si>
  <si>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</si>
  <si>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</si>
  <si>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</si>
  <si>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</si>
  <si>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</si>
  <si>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</si>
  <si>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</si>
  <si>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</si>
  <si>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</si>
  <si>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</si>
  <si>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</si>
  <si>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</si>
  <si>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</si>
  <si>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</si>
  <si>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</si>
  <si>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</si>
  <si>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</si>
  <si>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</si>
  <si>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</si>
  <si>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</si>
  <si>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</si>
  <si>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</si>
  <si>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</si>
  <si>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</si>
  <si>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</si>
  <si>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</si>
  <si>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</si>
  <si>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</si>
  <si>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</si>
  <si>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</si>
  <si>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</si>
  <si>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</si>
  <si>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</si>
  <si>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</si>
  <si>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</si>
  <si>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</si>
  <si>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</si>
  <si>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</si>
  <si>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</si>
  <si>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</si>
  <si>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</si>
  <si>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</si>
  <si>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</si>
  <si>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</si>
  <si>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</si>
  <si>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</si>
  <si>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</si>
  <si>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</si>
  <si>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</si>
  <si>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</si>
  <si>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</si>
  <si>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</si>
  <si>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</si>
  <si>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</si>
  <si>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</si>
  <si>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</si>
  <si>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</si>
  <si>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</si>
  <si>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</si>
  <si>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</si>
  <si>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</si>
  <si>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</si>
  <si>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</si>
  <si>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</si>
  <si>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</si>
  <si>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</si>
  <si>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</si>
  <si>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</si>
  <si>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</si>
  <si>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</si>
  <si>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</si>
  <si>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</si>
  <si>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</si>
  <si>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</si>
  <si>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</si>
  <si>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</si>
  <si>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</si>
  <si>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</si>
  <si>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</si>
  <si>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</si>
  <si>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</si>
  <si>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</si>
  <si>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</si>
  <si>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</si>
  <si>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</si>
  <si>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</si>
  <si>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</si>
  <si>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</si>
  <si>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</si>
  <si>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</si>
  <si>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</si>
  <si>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</si>
  <si>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</si>
  <si>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</si>
  <si>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</si>
  <si>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</si>
  <si>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</si>
  <si>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</si>
  <si>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</si>
  <si>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</si>
  <si>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</si>
  <si>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</si>
  <si>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</si>
  <si>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</si>
  <si>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</si>
  <si>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</si>
  <si>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</si>
  <si>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</si>
  <si>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</si>
  <si>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</si>
  <si>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</si>
  <si>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</si>
  <si>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</si>
  <si>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</si>
  <si>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</si>
  <si>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</si>
  <si>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</si>
  <si>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</si>
  <si>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</si>
  <si>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</si>
  <si>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</si>
  <si>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</si>
  <si>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</si>
  <si>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</si>
  <si>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</si>
  <si>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</si>
  <si>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</si>
  <si>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</si>
  <si>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</si>
  <si>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</si>
  <si>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</si>
  <si>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</si>
  <si>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</si>
  <si>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</si>
  <si>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</si>
  <si>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</si>
  <si>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</si>
  <si>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</si>
  <si>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</si>
  <si>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</si>
  <si>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</si>
  <si>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</si>
  <si>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</si>
  <si>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</si>
  <si>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</si>
  <si>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</si>
  <si>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</si>
  <si>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</si>
  <si>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</si>
  <si>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</si>
  <si>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</si>
  <si>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</si>
  <si>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</si>
  <si>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</si>
  <si>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</si>
  <si>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</si>
  <si>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</si>
  <si>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</si>
  <si>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</si>
  <si>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</si>
  <si>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</si>
  <si>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</si>
  <si>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</si>
  <si>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</si>
  <si>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</si>
  <si>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</si>
  <si>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</si>
  <si>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</si>
  <si>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</si>
  <si>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Helped Other Teams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</si>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</sst>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3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165</v>
      </c>
      <c r="G2" s="5">
        <f>ROUND(IFERROR(AVERAGEIF(Week3_Individual!$B:$B,$C2,Week3_Individual!$H:$H),0)+IFERROR(VLOOKUP($C2,Week3_Team!$B:$K,10,FALSE()),0),1)</f>
        <v>0</v>
      </c>
      <c r="H2" s="5">
        <f>ROUND(IFERROR(AVERAGEIF(Week4_Individual!$B:$B,$C2,Week4_Individual!$H:$H),0)+IFERROR(VLOOKUP($C2,Week4_Team!$B:$K,10,FALSE()),0),1)</f>
        <v>0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247.5</v>
      </c>
    </row>
    <row r="3">
      <c r="A3" s="6">
        <f t="shared" si="1"/>
        <v>2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85</v>
      </c>
      <c r="F3" s="5">
        <f>ROUND(IFERROR(AVERAGEIF(Week2_Individual!$B:$B,$C3,Week2_Individual!$H:$H),0)+IFERROR(VLOOKUP($C3,Week2_Team!$B:$K,10,FALSE()),0),1)</f>
        <v>165</v>
      </c>
      <c r="G3" s="5">
        <f>ROUND(IFERROR(AVERAGEIF(Week3_Individual!$B:$B,$C3,Week3_Individual!$H:$H),0)+IFERROR(VLOOKUP($C3,Week3_Team!$B:$K,10,FALSE()),0),1)</f>
        <v>0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250</v>
      </c>
    </row>
    <row r="4">
      <c r="A4" s="10">
        <f t="shared" si="1"/>
        <v>46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28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46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31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16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30</v>
      </c>
      <c r="F8" s="5">
        <f>ROUND(IFERROR(AVERAGEIF(Week2_Individual!$B:$B,$C8,Week2_Individual!$H:$H),0)+IFERROR(VLOOKUP($C8,Week2_Team!$B:$K,10,FALSE()),0),1)</f>
        <v>130</v>
      </c>
      <c r="G8" s="5">
        <f>ROUND(IFERROR(AVERAGEIF(Week3_Individual!$B:$B,$C8,Week3_Individual!$H:$H),0)+IFERROR(VLOOKUP($C8,Week3_Team!$B:$K,10,FALSE()),0),1)</f>
        <v>0</v>
      </c>
      <c r="H8" s="5">
        <f>ROUND(IFERROR(AVERAGEIF(Week4_Individual!$B:$B,$C8,Week4_Individual!$H:$H),0)+IFERROR(VLOOKUP($C8,Week4_Team!$B:$K,10,FALSE()),0),1)</f>
        <v>0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160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0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40</v>
      </c>
    </row>
    <row r="10">
      <c r="A10" s="6">
        <f t="shared" si="1"/>
        <v>35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0</v>
      </c>
      <c r="H10" s="5">
        <f>ROUND(IFERROR(AVERAGEIF(Week4_Individual!$B:$B,$C10,Week4_Individual!$H:$H),0)+IFERROR(VLOOKUP($C10,Week4_Team!$B:$K,10,FALSE()),0),1)</f>
        <v>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10</v>
      </c>
    </row>
    <row r="11">
      <c r="A11" s="6">
        <f t="shared" si="1"/>
        <v>35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3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165</v>
      </c>
      <c r="G12" s="5">
        <f>ROUND(IFERROR(AVERAGEIF(Week3_Individual!$B:$B,$C12,Week3_Individual!$H:$H),0)+IFERROR(VLOOKUP($C12,Week3_Team!$B:$K,10,FALSE()),0),1)</f>
        <v>0</v>
      </c>
      <c r="H12" s="5">
        <f>ROUND(IFERROR(AVERAGEIF(Week4_Individual!$B:$B,$C12,Week4_Individual!$H:$H),0)+IFERROR(VLOOKUP($C12,Week4_Team!$B:$K,10,FALSE()),0),1)</f>
        <v>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247.5</v>
      </c>
    </row>
    <row r="13">
      <c r="A13" s="6">
        <f t="shared" si="1"/>
        <v>46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0</v>
      </c>
    </row>
    <row r="14">
      <c r="A14" s="6">
        <f t="shared" si="1"/>
        <v>45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46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21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0</v>
      </c>
      <c r="H16" s="5">
        <f>ROUND(IFERROR(AVERAGEIF(Week4_Individual!$B:$B,$C16,Week4_Individual!$H:$H),0)+IFERROR(VLOOKUP($C16,Week4_Team!$B:$K,10,FALSE()),0),1)</f>
        <v>0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95</v>
      </c>
    </row>
    <row r="17">
      <c r="A17" s="10">
        <f t="shared" si="1"/>
        <v>46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46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46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8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127.5</v>
      </c>
      <c r="G20" s="5">
        <f>ROUND(IFERROR(AVERAGEIF(Week3_Individual!$B:$B,$C20,Week3_Individual!$H:$H),0)+IFERROR(VLOOKUP($C20,Week3_Team!$B:$K,10,FALSE()),0),1)</f>
        <v>0</v>
      </c>
      <c r="H20" s="5">
        <f>ROUND(IFERROR(AVERAGEIF(Week4_Individual!$B:$B,$C20,Week4_Individual!$H:$H),0)+IFERROR(VLOOKUP($C20,Week4_Team!$B:$K,10,FALSE()),0),1)</f>
        <v>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217.5</v>
      </c>
    </row>
    <row r="21" ht="15.75" customHeight="1">
      <c r="A21" s="6">
        <f t="shared" si="1"/>
        <v>46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46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46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46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46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46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46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46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46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1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210</v>
      </c>
      <c r="G30" s="5">
        <f>ROUND(IFERROR(AVERAGEIF(Week3_Individual!$B:$B,$C30,Week3_Individual!$H:$H),0)+IFERROR(VLOOKUP($C30,Week3_Team!$B:$K,10,FALSE()),0),1)</f>
        <v>0</v>
      </c>
      <c r="H30" s="5">
        <f>ROUND(IFERROR(AVERAGEIF(Week4_Individual!$B:$B,$C30,Week4_Individual!$H:$H),0)+IFERROR(VLOOKUP($C30,Week4_Team!$B:$K,10,FALSE()),0),1)</f>
        <v>0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300</v>
      </c>
    </row>
    <row r="31" ht="15.75" customHeight="1">
      <c r="A31" s="6">
        <f t="shared" si="1"/>
        <v>46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46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46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46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35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35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46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46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14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35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46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46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15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100</v>
      </c>
      <c r="G43" s="5">
        <f>ROUND(IFERROR(AVERAGEIF(Week3_Individual!$B:$B,$C43,Week3_Individual!$H:$H),0)+IFERROR(VLOOKUP($C43,Week3_Team!$B:$K,10,FALSE()),0),1)</f>
        <v>0</v>
      </c>
      <c r="H43" s="5">
        <f>ROUND(IFERROR(AVERAGEIF(Week4_Individual!$B:$B,$C43,Week4_Individual!$H:$H),0)+IFERROR(VLOOKUP($C43,Week4_Team!$B:$K,10,FALSE()),0),1)</f>
        <v>0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170</v>
      </c>
    </row>
    <row r="44" ht="15.75" customHeight="1">
      <c r="A44" s="6">
        <f t="shared" si="1"/>
        <v>31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46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46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6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95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0</v>
      </c>
      <c r="H47" s="5">
        <f>ROUND(IFERROR(AVERAGEIF(Week4_Individual!$B:$B,$C47,Week4_Individual!$H:$H),0)+IFERROR(VLOOKUP($C47,Week4_Team!$B:$K,10,FALSE()),0),1)</f>
        <v>0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225</v>
      </c>
    </row>
    <row r="48" ht="15.75" customHeight="1">
      <c r="A48" s="6">
        <f t="shared" si="1"/>
        <v>46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46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46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46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46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6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0</v>
      </c>
      <c r="H53" s="5">
        <f>ROUND(IFERROR(AVERAGEIF(Week4_Individual!$B:$B,$C53,Week4_Individual!$H:$H),0)+IFERROR(VLOOKUP($C53,Week4_Team!$B:$K,10,FALSE()),0),1)</f>
        <v>0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225</v>
      </c>
    </row>
    <row r="54" ht="15.75" customHeight="1">
      <c r="A54" s="6">
        <f t="shared" si="1"/>
        <v>12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93.3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0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181.6</v>
      </c>
    </row>
    <row r="55" ht="15.75" customHeight="1">
      <c r="A55" s="6">
        <f t="shared" si="1"/>
        <v>46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46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35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46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46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46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33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15</v>
      </c>
    </row>
    <row r="62" ht="15.75" customHeight="1">
      <c r="A62" s="6">
        <f t="shared" si="1"/>
        <v>46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46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24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50</v>
      </c>
      <c r="G64" s="5">
        <f>ROUND(IFERROR(AVERAGEIF(Week3_Individual!$B:$B,$C64,Week3_Individual!$H:$H),0)+IFERROR(VLOOKUP($C64,Week3_Team!$B:$K,10,FALSE()),0),1)</f>
        <v>0</v>
      </c>
      <c r="H64" s="5">
        <f>ROUND(IFERROR(AVERAGEIF(Week4_Individual!$B:$B,$C64,Week4_Individual!$H:$H),0)+IFERROR(VLOOKUP($C64,Week4_Team!$B:$K,10,FALSE()),0),1)</f>
        <v>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50</v>
      </c>
    </row>
    <row r="65" ht="15.75" customHeight="1">
      <c r="A65" s="6">
        <f t="shared" si="1"/>
        <v>30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46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35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13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0</v>
      </c>
      <c r="H68" s="5">
        <f>ROUND(IFERROR(AVERAGEIF(Week4_Individual!$B:$B,$C68,Week4_Individual!$H:$H),0)+IFERROR(VLOOKUP($C68,Week4_Team!$B:$K,10,FALSE()),0),1)</f>
        <v>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180</v>
      </c>
    </row>
    <row r="69" ht="15.75" customHeight="1">
      <c r="A69" s="6">
        <f t="shared" si="1"/>
        <v>46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46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44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0</v>
      </c>
      <c r="H72" s="5">
        <f>ROUND(IFERROR(AVERAGEIF(Week4_Individual!$B:$B,$C72,Week4_Individual!$H:$H),0)+IFERROR(VLOOKUP($C72,Week4_Team!$B:$K,10,FALSE()),0),1)</f>
        <v>0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33.8</v>
      </c>
    </row>
    <row r="73" ht="15.75" customHeight="1">
      <c r="A73" s="6">
        <f t="shared" si="1"/>
        <v>46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46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46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35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22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77.5</v>
      </c>
    </row>
    <row r="78" ht="15.75" customHeight="1">
      <c r="A78" s="6">
        <f t="shared" si="1"/>
        <v>9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0</v>
      </c>
      <c r="H78" s="5">
        <f>ROUND(IFERROR(AVERAGEIF(Week4_Individual!$B:$B,$C78,Week4_Individual!$H:$H),0)+IFERROR(VLOOKUP($C78,Week4_Team!$B:$K,10,FALSE()),0),1)</f>
        <v>0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215</v>
      </c>
    </row>
    <row r="79" ht="15.75" customHeight="1">
      <c r="A79" s="6">
        <f t="shared" si="1"/>
        <v>5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185</v>
      </c>
      <c r="G79" s="5">
        <f>ROUND(IFERROR(AVERAGEIF(Week3_Individual!$B:$B,$C79,Week3_Individual!$H:$H),0)+IFERROR(VLOOKUP($C79,Week3_Team!$B:$K,10,FALSE()),0),1)</f>
        <v>0</v>
      </c>
      <c r="H79" s="5">
        <f>ROUND(IFERROR(AVERAGEIF(Week4_Individual!$B:$B,$C79,Week4_Individual!$H:$H),0)+IFERROR(VLOOKUP($C79,Week4_Team!$B:$K,10,FALSE()),0),1)</f>
        <v>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240</v>
      </c>
    </row>
    <row r="80" ht="15.75" customHeight="1">
      <c r="A80" s="6">
        <f t="shared" si="1"/>
        <v>46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18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0</v>
      </c>
      <c r="H81" s="5">
        <f>ROUND(IFERROR(AVERAGEIF(Week4_Individual!$B:$B,$C81,Week4_Individual!$H:$H),0)+IFERROR(VLOOKUP($C81,Week4_Team!$B:$K,10,FALSE()),0),1)</f>
        <v>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145</v>
      </c>
    </row>
    <row r="82" ht="15.75" customHeight="1">
      <c r="A82" s="6">
        <f t="shared" si="1"/>
        <v>46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19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110</v>
      </c>
      <c r="G83" s="5">
        <f>ROUND(IFERROR(AVERAGEIF(Week3_Individual!$B:$B,$C83,Week3_Individual!$H:$H),0)+IFERROR(VLOOKUP($C83,Week3_Team!$B:$K,10,FALSE()),0),1)</f>
        <v>0</v>
      </c>
      <c r="H83" s="5">
        <f>ROUND(IFERROR(AVERAGEIF(Week4_Individual!$B:$B,$C83,Week4_Individual!$H:$H),0)+IFERROR(VLOOKUP($C83,Week4_Team!$B:$K,10,FALSE()),0),1)</f>
        <v>0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135</v>
      </c>
    </row>
    <row r="84" ht="15.75" customHeight="1">
      <c r="A84" s="6">
        <f t="shared" si="1"/>
        <v>46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10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110</v>
      </c>
      <c r="G85" s="5">
        <f>ROUND(IFERROR(AVERAGEIF(Week3_Individual!$B:$B,$C85,Week3_Individual!$H:$H),0)+IFERROR(VLOOKUP($C85,Week3_Team!$B:$K,10,FALSE()),0),1)</f>
        <v>0</v>
      </c>
      <c r="H85" s="5">
        <f>ROUND(IFERROR(AVERAGEIF(Week4_Individual!$B:$B,$C85,Week4_Individual!$H:$H),0)+IFERROR(VLOOKUP($C85,Week4_Team!$B:$K,10,FALSE()),0),1)</f>
        <v>0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190</v>
      </c>
    </row>
    <row r="86" ht="15.75" customHeight="1">
      <c r="A86" s="6">
        <f t="shared" si="1"/>
        <v>35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20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0</v>
      </c>
      <c r="H87" s="5">
        <f>ROUND(IFERROR(AVERAGEIF(Week4_Individual!$B:$B,$C87,Week4_Individual!$H:$H),0)+IFERROR(VLOOKUP($C87,Week4_Team!$B:$K,10,FALSE()),0),1)</f>
        <v>0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98.3</v>
      </c>
    </row>
    <row r="88" ht="15.75" customHeight="1">
      <c r="A88" s="6">
        <f t="shared" si="1"/>
        <v>23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33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26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46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46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10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110</v>
      </c>
      <c r="G93" s="5">
        <f>ROUND(IFERROR(AVERAGEIF(Week3_Individual!$B:$B,$C93,Week3_Individual!$H:$H),0)+IFERROR(VLOOKUP($C93,Week3_Team!$B:$K,10,FALSE()),0),1)</f>
        <v>0</v>
      </c>
      <c r="H93" s="5">
        <f>ROUND(IFERROR(AVERAGEIF(Week4_Individual!$B:$B,$C93,Week4_Individual!$H:$H),0)+IFERROR(VLOOKUP($C93,Week4_Team!$B:$K,10,FALSE()),0),1)</f>
        <v>0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190</v>
      </c>
    </row>
    <row r="94" ht="15.75" customHeight="1">
      <c r="A94" s="6">
        <f t="shared" si="1"/>
        <v>46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17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80</v>
      </c>
      <c r="G95" s="5">
        <f>ROUND(IFERROR(AVERAGEIF(Week3_Individual!$B:$B,$C95,Week3_Individual!$H:$H),0)+IFERROR(VLOOKUP($C95,Week3_Team!$B:$K,10,FALSE()),0),1)</f>
        <v>0</v>
      </c>
      <c r="H95" s="5">
        <f>ROUND(IFERROR(AVERAGEIF(Week4_Individual!$B:$B,$C95,Week4_Individual!$H:$H),0)+IFERROR(VLOOKUP($C95,Week4_Team!$B:$K,10,FALSE()),0),1)</f>
        <v>0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155</v>
      </c>
    </row>
    <row r="96" ht="15.75" customHeight="1">
      <c r="A96" s="6">
        <f t="shared" si="1"/>
        <v>29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8">
        <v>1.0</v>
      </c>
      <c r="H141" s="6">
        <f>E141*PV_SESSION+F141*PV_CHALLENGE+G141*PV_WIN</f>
        <v>60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1.0</v>
      </c>
      <c r="F132" s="19">
        <v>0.0</v>
      </c>
      <c r="G132" s="19">
        <v>0.0</v>
      </c>
      <c r="H132" s="6">
        <f>E132*PV_SESSION+F132*PV_CHALLENGE+G132*PV_WIN</f>
        <v>5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1.0</v>
      </c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55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10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>
        <v>0.0</v>
      </c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>
        <v>0.0</v>
      </c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>
        <v>1.0</v>
      </c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55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>
        <v>1.0</v>
      </c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55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>
        <v>0.0</v>
      </c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>
        <v>0.0</v>
      </c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>
        <v>0.0</v>
      </c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>
        <v>3.0</v>
      </c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110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2.0</v>
      </c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125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>
        <v>1.0</v>
      </c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90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>
        <v>4.0</v>
      </c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120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>
        <v>0.0</v>
      </c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>
        <v>1.0</v>
      </c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90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>
        <v>1.0</v>
      </c>
      <c r="F30" s="18">
        <v>1.0</v>
      </c>
      <c r="G30" s="18">
        <v>4.0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>
        <v>0.0</v>
      </c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>
        <v>1.0</v>
      </c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50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504</v>
      </c>
      <c r="C47" s="18">
        <v>1.0</v>
      </c>
      <c r="D47" s="18">
        <v>1.0</v>
      </c>
      <c r="E47" s="19">
        <v>0.0</v>
      </c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>
        <v>0.0</v>
      </c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>
        <v>0.0</v>
      </c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>
        <v>1.0</v>
      </c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140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>
        <v>1.0</v>
      </c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75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>
        <v>2.0</v>
      </c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80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>
        <v>2.0</v>
      </c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>
        <v>1.0</v>
      </c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50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